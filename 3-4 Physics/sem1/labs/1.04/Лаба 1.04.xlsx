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<sst xmlns="http://schemas.openxmlformats.org/spreadsheetml/2006/main" count="127" uniqueCount="77">
  <si>
    <t>Масса груза, г</t>
  </si>
  <si>
    <t>Положение утяжелителей</t>
  </si>
  <si>
    <t>2 * 0,7 * t^2</t>
  </si>
  <si>
    <t>2a/d</t>
  </si>
  <si>
    <t>md/2</t>
  </si>
  <si>
    <t xml:space="preserve">1 риска </t>
  </si>
  <si>
    <t>2 риска</t>
  </si>
  <si>
    <t>3 риска</t>
  </si>
  <si>
    <t>4 риска</t>
  </si>
  <si>
    <t>5 риска</t>
  </si>
  <si>
    <t>6 риска</t>
  </si>
  <si>
    <t>Масса груза, кг</t>
  </si>
  <si>
    <r>
      <rPr>
        <rFont val="Calibri"/>
        <color rgb="FF000000"/>
        <sz val="11.0"/>
      </rPr>
      <t>t</t>
    </r>
    <r>
      <rPr>
        <rFont val="Calibri"/>
        <color rgb="FF000000"/>
        <sz val="11.0"/>
        <vertAlign val="subscript"/>
      </rPr>
      <t>ср</t>
    </r>
    <r>
      <rPr>
        <rFont val="Calibri"/>
        <color rgb="FF000000"/>
        <sz val="11.0"/>
      </rPr>
      <t>, с</t>
    </r>
  </si>
  <si>
    <r>
      <rPr>
        <rFont val="Calibri"/>
        <color rgb="FF000000"/>
        <sz val="11.0"/>
      </rPr>
      <t>a, м/с</t>
    </r>
    <r>
      <rPr>
        <rFont val="Calibri"/>
        <color rgb="FF000000"/>
        <sz val="11.0"/>
        <vertAlign val="superscript"/>
      </rPr>
      <t>2</t>
    </r>
  </si>
  <si>
    <r>
      <rPr>
        <rFont val="Calibri"/>
        <color rgb="FF000000"/>
        <sz val="11.0"/>
      </rPr>
      <t>ε, с</t>
    </r>
    <r>
      <rPr>
        <rFont val="Calibri"/>
        <color rgb="FF000000"/>
        <sz val="11.0"/>
        <vertAlign val="superscript"/>
      </rPr>
      <t>-2</t>
    </r>
  </si>
  <si>
    <t>M, Н*м</t>
  </si>
  <si>
    <r>
      <rPr>
        <rFont val="Calibri"/>
        <color rgb="FF000000"/>
        <sz val="11.0"/>
      </rPr>
      <t>ε, с</t>
    </r>
    <r>
      <rPr>
        <rFont val="Calibri"/>
        <color rgb="FF000000"/>
        <sz val="11.0"/>
        <vertAlign val="superscript"/>
      </rPr>
      <t>-2</t>
    </r>
  </si>
  <si>
    <t>M</t>
  </si>
  <si>
    <t>E</t>
  </si>
  <si>
    <t>M - Mср</t>
  </si>
  <si>
    <t>E - Eср</t>
  </si>
  <si>
    <t>(Е - Еср)^2</t>
  </si>
  <si>
    <t>Сумм((M - Mср) * (E - Ecr))</t>
  </si>
  <si>
    <t>Сумм()</t>
  </si>
  <si>
    <t>Сумм((E - Eср)^2)</t>
  </si>
  <si>
    <t>tср, с</t>
  </si>
  <si>
    <t>a, м/с2</t>
  </si>
  <si>
    <t>ε, с-2</t>
  </si>
  <si>
    <t>m1</t>
  </si>
  <si>
    <t>1 риска</t>
  </si>
  <si>
    <t>Среднее</t>
  </si>
  <si>
    <t>m2</t>
  </si>
  <si>
    <t>m3</t>
  </si>
  <si>
    <t>m4</t>
  </si>
  <si>
    <t>s</t>
  </si>
  <si>
    <t>Данные об установке</t>
  </si>
  <si>
    <t>Диметр ступицы</t>
  </si>
  <si>
    <t>&lt;t&gt;</t>
  </si>
  <si>
    <t>ti - &lt;t&gt;</t>
  </si>
  <si>
    <t>(ti - &lt;t&gt;)^2</t>
  </si>
  <si>
    <t>Сумма (ti - &lt;t&gt;)^2</t>
  </si>
  <si>
    <t>a</t>
  </si>
  <si>
    <t>Mср</t>
  </si>
  <si>
    <t>Eср</t>
  </si>
  <si>
    <t>I</t>
  </si>
  <si>
    <t>Mтр</t>
  </si>
  <si>
    <t>Погрешности</t>
  </si>
  <si>
    <t>СКО</t>
  </si>
  <si>
    <t>taN</t>
  </si>
  <si>
    <t>tср:</t>
  </si>
  <si>
    <t>Дов.  интервал</t>
  </si>
  <si>
    <t>Дов. инт.</t>
  </si>
  <si>
    <t>&lt;a&gt;</t>
  </si>
  <si>
    <t>t</t>
  </si>
  <si>
    <t>Отн.</t>
  </si>
  <si>
    <t>a:</t>
  </si>
  <si>
    <t>Da</t>
  </si>
  <si>
    <t>Отн. погрш.</t>
  </si>
  <si>
    <t>&lt;M&gt;</t>
  </si>
  <si>
    <t>Отн. поргш</t>
  </si>
  <si>
    <t>e</t>
  </si>
  <si>
    <t>&lt;e&gt;</t>
  </si>
  <si>
    <t>d</t>
  </si>
  <si>
    <t>Дов. интервал</t>
  </si>
  <si>
    <t>r2</t>
  </si>
  <si>
    <t>i</t>
  </si>
  <si>
    <t>r2 - rср</t>
  </si>
  <si>
    <t>i - iср</t>
  </si>
  <si>
    <t>(r2 - rср)^2</t>
  </si>
  <si>
    <t>Риска 1</t>
  </si>
  <si>
    <t>Риска 2</t>
  </si>
  <si>
    <t>Риска 3</t>
  </si>
  <si>
    <t>Риска 4</t>
  </si>
  <si>
    <t>Риска 5</t>
  </si>
  <si>
    <t>Риска 6</t>
  </si>
  <si>
    <t>myt=</t>
  </si>
  <si>
    <t>I0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</si>
</sst>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"/>
    <numFmt numFmtId="165" formatCode="0.0000"/>
    <numFmt numFmtId="166" formatCode="#,##0.00000"/>
    <numFmt numFmtId="167" formatCode="0.000000000"/>
    <numFmt numFmtId="168" formatCode="0.0000000"/>
    <numFmt numFmtId="169" formatCode="0.00000000"/>
  </numFmts>
  <fonts count="7">
    <font>
      <sz val="10.0"/>
      <color rgb="FF000000"/>
      <name val="Arial"/>
      <scheme val="minor"/>
    </font>
    <font>
      <sz val="10.0"/>
      <color theme="1"/>
      <name val="Arial"/>
    </font>
    <font/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readingOrder="0"/>
    </xf>
    <xf borderId="5" fillId="0" fontId="2" numFmtId="0" xfId="0" applyBorder="1" applyFont="1"/>
    <xf borderId="6" fillId="0" fontId="1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/>
    </xf>
    <xf borderId="0" fillId="0" fontId="5" numFmtId="0" xfId="0" applyAlignment="1" applyFont="1">
      <alignment horizontal="left" readingOrder="0" shrinkToFit="0" wrapText="1"/>
    </xf>
    <xf borderId="6" fillId="0" fontId="1" numFmtId="2" xfId="0" applyAlignment="1" applyBorder="1" applyFont="1" applyNumberFormat="1">
      <alignment horizontal="center" readingOrder="0" vertical="center"/>
    </xf>
    <xf borderId="10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center"/>
    </xf>
    <xf borderId="11" fillId="0" fontId="4" numFmtId="4" xfId="0" applyAlignment="1" applyBorder="1" applyFont="1" applyNumberFormat="1">
      <alignment horizontal="right" vertical="center"/>
    </xf>
    <xf borderId="12" fillId="0" fontId="4" numFmtId="4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center" readingOrder="0" vertical="center"/>
    </xf>
    <xf borderId="6" fillId="0" fontId="4" numFmtId="164" xfId="0" applyAlignment="1" applyBorder="1" applyFont="1" applyNumberFormat="1">
      <alignment vertical="center"/>
    </xf>
    <xf borderId="6" fillId="0" fontId="4" numFmtId="164" xfId="0" applyAlignment="1" applyBorder="1" applyFont="1" applyNumberFormat="1">
      <alignment horizontal="right" vertical="center"/>
    </xf>
    <xf borderId="6" fillId="0" fontId="4" numFmtId="164" xfId="0" applyAlignment="1" applyBorder="1" applyFont="1" applyNumberFormat="1">
      <alignment horizontal="right" readingOrder="0" vertical="center"/>
    </xf>
    <xf borderId="1" fillId="0" fontId="3" numFmtId="164" xfId="0" applyBorder="1" applyFont="1" applyNumberFormat="1"/>
    <xf borderId="0" fillId="0" fontId="5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13" fillId="0" fontId="2" numFmtId="0" xfId="0" applyBorder="1" applyFont="1"/>
    <xf borderId="14" fillId="0" fontId="2" numFmtId="0" xfId="0" applyBorder="1" applyFont="1"/>
    <xf borderId="5" fillId="0" fontId="1" numFmtId="0" xfId="0" applyAlignment="1" applyBorder="1" applyFont="1">
      <alignment horizontal="center" readingOrder="0" vertical="center"/>
    </xf>
    <xf borderId="6" fillId="0" fontId="1" numFmtId="2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5" fillId="0" fontId="2" numFmtId="0" xfId="0" applyBorder="1" applyFont="1"/>
    <xf borderId="0" fillId="0" fontId="6" numFmtId="0" xfId="0" applyFont="1"/>
    <xf borderId="6" fillId="0" fontId="6" numFmtId="0" xfId="0" applyBorder="1" applyFont="1"/>
    <xf borderId="0" fillId="0" fontId="3" numFmtId="0" xfId="0" applyFont="1"/>
    <xf borderId="6" fillId="0" fontId="6" numFmtId="165" xfId="0" applyBorder="1" applyFont="1" applyNumberFormat="1"/>
    <xf borderId="0" fillId="0" fontId="3" numFmtId="164" xfId="0" applyFont="1" applyNumberFormat="1"/>
    <xf borderId="0" fillId="0" fontId="6" numFmtId="165" xfId="0" applyAlignment="1" applyFont="1" applyNumberFormat="1">
      <alignment readingOrder="0"/>
    </xf>
    <xf borderId="6" fillId="0" fontId="6" numFmtId="0" xfId="0" applyAlignment="1" applyBorder="1" applyFont="1">
      <alignment horizontal="center" vertical="center"/>
    </xf>
    <xf borderId="6" fillId="0" fontId="6" numFmtId="165" xfId="0" applyAlignment="1" applyBorder="1" applyFont="1" applyNumberFormat="1">
      <alignment horizontal="center" readingOrder="0" vertical="center"/>
    </xf>
    <xf borderId="6" fillId="0" fontId="6" numFmtId="165" xfId="0" applyAlignment="1" applyBorder="1" applyFont="1" applyNumberFormat="1">
      <alignment horizontal="center" vertical="center"/>
    </xf>
    <xf borderId="0" fillId="0" fontId="3" numFmtId="4" xfId="0" applyFont="1" applyNumberFormat="1"/>
    <xf borderId="0" fillId="0" fontId="6" numFmtId="2" xfId="0" applyFont="1" applyNumberFormat="1"/>
    <xf borderId="0" fillId="0" fontId="3" numFmtId="166" xfId="0" applyFont="1" applyNumberFormat="1"/>
    <xf borderId="1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1" fillId="0" fontId="6" numFmtId="166" xfId="0" applyAlignment="1" applyBorder="1" applyFont="1" applyNumberFormat="1">
      <alignment horizontal="center" vertical="center"/>
    </xf>
    <xf borderId="0" fillId="0" fontId="6" numFmtId="165" xfId="0" applyFont="1" applyNumberFormat="1"/>
    <xf borderId="0" fillId="0" fontId="6" numFmtId="167" xfId="0" applyFont="1" applyNumberFormat="1"/>
    <xf borderId="0" fillId="0" fontId="3" numFmtId="164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  <xf borderId="6" fillId="0" fontId="6" numFmtId="0" xfId="0" applyAlignment="1" applyBorder="1" applyFont="1">
      <alignment readingOrder="0"/>
    </xf>
    <xf borderId="6" fillId="0" fontId="6" numFmtId="164" xfId="0" applyBorder="1" applyFont="1" applyNumberFormat="1"/>
    <xf borderId="6" fillId="0" fontId="6" numFmtId="166" xfId="0" applyBorder="1" applyFont="1" applyNumberFormat="1"/>
    <xf borderId="6" fillId="0" fontId="6" numFmtId="164" xfId="0" applyAlignment="1" applyBorder="1" applyFont="1" applyNumberFormat="1">
      <alignment horizontal="center"/>
    </xf>
    <xf borderId="6" fillId="0" fontId="6" numFmtId="166" xfId="0" applyAlignment="1" applyBorder="1" applyFont="1" applyNumberFormat="1">
      <alignment horizontal="center"/>
    </xf>
    <xf borderId="6" fillId="0" fontId="6" numFmtId="0" xfId="0" applyAlignment="1" applyBorder="1" applyFont="1">
      <alignment horizontal="center"/>
    </xf>
    <xf borderId="0" fillId="0" fontId="6" numFmtId="168" xfId="0" applyFont="1" applyNumberFormat="1"/>
    <xf borderId="6" fillId="0" fontId="3" numFmtId="166" xfId="0" applyBorder="1" applyFont="1" applyNumberFormat="1"/>
    <xf borderId="0" fillId="0" fontId="6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1.0"/>
    <col customWidth="1" min="10" max="11" width="12.38"/>
    <col customWidth="1" min="12" max="17" width="11.0"/>
    <col customWidth="1" min="18" max="18" width="12.13"/>
    <col customWidth="1" min="19" max="34" width="11.0"/>
  </cols>
  <sheetData>
    <row r="1" ht="15.0" customHeight="1">
      <c r="A1" s="1" t="s">
        <v>0</v>
      </c>
      <c r="B1" s="2" t="s">
        <v>1</v>
      </c>
      <c r="C1" s="3"/>
      <c r="D1" s="3"/>
      <c r="E1" s="3"/>
      <c r="F1" s="3"/>
      <c r="G1" s="4"/>
      <c r="M1" s="5" t="s">
        <v>2</v>
      </c>
      <c r="N1" s="5" t="s">
        <v>3</v>
      </c>
      <c r="O1" s="5" t="s">
        <v>4</v>
      </c>
    </row>
    <row r="2" ht="15.75" customHeight="1">
      <c r="A2" s="6"/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J2" s="8" t="s">
        <v>11</v>
      </c>
      <c r="K2" s="9"/>
      <c r="L2" s="9" t="s">
        <v>12</v>
      </c>
      <c r="M2" s="9" t="s">
        <v>13</v>
      </c>
      <c r="N2" s="9" t="s">
        <v>14</v>
      </c>
      <c r="O2" s="10" t="s">
        <v>15</v>
      </c>
      <c r="P2" s="9" t="s">
        <v>16</v>
      </c>
      <c r="R2" s="11"/>
      <c r="S2" s="11" t="s">
        <v>17</v>
      </c>
      <c r="T2" s="11" t="s">
        <v>18</v>
      </c>
      <c r="U2" s="11" t="s">
        <v>19</v>
      </c>
      <c r="V2" s="11" t="s">
        <v>20</v>
      </c>
      <c r="W2" s="11" t="s">
        <v>21</v>
      </c>
      <c r="X2" s="12" t="s">
        <v>22</v>
      </c>
      <c r="Y2" s="12" t="s">
        <v>23</v>
      </c>
      <c r="Z2" s="12" t="s">
        <v>24</v>
      </c>
      <c r="AD2" s="13" t="s">
        <v>0</v>
      </c>
      <c r="AE2" s="13" t="s">
        <v>25</v>
      </c>
      <c r="AF2" s="13" t="s">
        <v>26</v>
      </c>
      <c r="AG2" s="13" t="s">
        <v>27</v>
      </c>
      <c r="AH2" s="13" t="s">
        <v>15</v>
      </c>
    </row>
    <row r="3" ht="15.75" customHeight="1">
      <c r="A3" s="1" t="s">
        <v>28</v>
      </c>
      <c r="B3" s="14">
        <v>6.83</v>
      </c>
      <c r="C3" s="14">
        <v>8.21</v>
      </c>
      <c r="D3" s="14">
        <v>10.97</v>
      </c>
      <c r="E3" s="14">
        <v>11.7</v>
      </c>
      <c r="F3" s="14">
        <v>13.02</v>
      </c>
      <c r="G3" s="14">
        <v>15.85</v>
      </c>
      <c r="J3" s="15">
        <v>0.27</v>
      </c>
      <c r="K3" s="16" t="s">
        <v>29</v>
      </c>
      <c r="L3" s="17">
        <f>B6</f>
        <v>7.016666667</v>
      </c>
      <c r="M3" s="17">
        <f t="shared" ref="M3:M26" si="2">2*0.7/(L3^2)</f>
        <v>0.02843585852</v>
      </c>
      <c r="N3" s="17">
        <f t="shared" ref="N3:N26" si="3">2*M3/0.046</f>
        <v>1.236341675</v>
      </c>
      <c r="O3" s="18">
        <f t="shared" ref="O3:O8" si="4">$J$3*0.046/2*(9.81-M3)</f>
        <v>0.06074351332</v>
      </c>
      <c r="P3" s="17">
        <v>1.2363416747965126</v>
      </c>
      <c r="R3" s="19" t="s">
        <v>29</v>
      </c>
      <c r="S3" s="20">
        <f t="shared" ref="S3:T3" si="1">O3</f>
        <v>0.06074351332</v>
      </c>
      <c r="T3" s="20">
        <f t="shared" si="1"/>
        <v>1.236341675</v>
      </c>
      <c r="U3" s="21">
        <f t="shared" ref="U3:U6" si="6">S3 - $K$32</f>
        <v>-0.07325648668</v>
      </c>
      <c r="V3" s="21">
        <f t="shared" ref="V3:V6" si="7">T3 - $L$32</f>
        <v>-1.205190918</v>
      </c>
      <c r="W3" s="22">
        <f t="shared" ref="W3:W26" si="8">V3 ^ 2</f>
        <v>1.45248515</v>
      </c>
      <c r="X3" s="23">
        <f t="shared" ref="X3:X26" si="9">U3 * V3</f>
        <v>0.08828805247</v>
      </c>
      <c r="Y3" s="23">
        <f>SUM(X3:X6)</f>
        <v>0.1820392101</v>
      </c>
      <c r="Z3" s="23">
        <f>SUM(W3:W6)</f>
        <v>2.78415043</v>
      </c>
      <c r="AD3" s="24">
        <v>0.27</v>
      </c>
      <c r="AE3" s="25">
        <v>4.5</v>
      </c>
      <c r="AF3" s="25">
        <v>0.07</v>
      </c>
      <c r="AG3" s="25">
        <v>3.01</v>
      </c>
      <c r="AH3" s="25">
        <v>0.06</v>
      </c>
    </row>
    <row r="4" ht="15.75" customHeight="1">
      <c r="A4" s="26"/>
      <c r="B4" s="14">
        <v>7.13</v>
      </c>
      <c r="C4" s="14">
        <v>8.58</v>
      </c>
      <c r="D4" s="14">
        <v>9.79</v>
      </c>
      <c r="E4" s="14">
        <v>11.97</v>
      </c>
      <c r="F4" s="14">
        <v>13.15</v>
      </c>
      <c r="G4" s="14">
        <v>15.47</v>
      </c>
      <c r="J4" s="27"/>
      <c r="K4" s="16" t="s">
        <v>6</v>
      </c>
      <c r="L4" s="17">
        <f>C6</f>
        <v>8.333333333</v>
      </c>
      <c r="M4" s="17">
        <f t="shared" si="2"/>
        <v>0.02016</v>
      </c>
      <c r="N4" s="17">
        <f t="shared" si="3"/>
        <v>0.8765217391</v>
      </c>
      <c r="O4" s="18">
        <f t="shared" si="4"/>
        <v>0.0607949064</v>
      </c>
      <c r="P4" s="17">
        <v>0.8765217391304345</v>
      </c>
      <c r="R4" s="26"/>
      <c r="S4" s="20">
        <f t="shared" ref="S4:T4" si="5">O9</f>
        <v>0.109999821</v>
      </c>
      <c r="T4" s="20">
        <f t="shared" si="5"/>
        <v>2.156085977</v>
      </c>
      <c r="U4" s="21">
        <f t="shared" si="6"/>
        <v>-0.02400017905</v>
      </c>
      <c r="V4" s="21">
        <f t="shared" si="7"/>
        <v>-0.2854466162</v>
      </c>
      <c r="W4" s="22">
        <f t="shared" si="8"/>
        <v>0.0814797707</v>
      </c>
      <c r="X4" s="23">
        <f t="shared" si="9"/>
        <v>0.006850769897</v>
      </c>
      <c r="Y4" s="26"/>
      <c r="Z4" s="26"/>
      <c r="AE4" s="25">
        <v>5.11</v>
      </c>
      <c r="AF4" s="25">
        <v>0.05</v>
      </c>
      <c r="AG4" s="25">
        <v>2.33</v>
      </c>
      <c r="AH4" s="25">
        <v>0.06</v>
      </c>
    </row>
    <row r="5" ht="15.75" customHeight="1">
      <c r="A5" s="26"/>
      <c r="B5" s="14">
        <v>7.09</v>
      </c>
      <c r="C5" s="14">
        <v>8.21</v>
      </c>
      <c r="D5" s="14">
        <v>10.36</v>
      </c>
      <c r="E5" s="14">
        <v>11.39</v>
      </c>
      <c r="F5" s="14">
        <v>13.02</v>
      </c>
      <c r="G5" s="14">
        <v>14.69</v>
      </c>
      <c r="J5" s="27"/>
      <c r="K5" s="16" t="s">
        <v>7</v>
      </c>
      <c r="L5" s="17">
        <f>D6</f>
        <v>10.37333333</v>
      </c>
      <c r="M5" s="17">
        <f t="shared" si="2"/>
        <v>0.01301042155</v>
      </c>
      <c r="N5" s="17">
        <f t="shared" si="3"/>
        <v>0.5656705024</v>
      </c>
      <c r="O5" s="18">
        <f t="shared" si="4"/>
        <v>0.06083930528</v>
      </c>
      <c r="P5" s="17">
        <v>0.5656705023556315</v>
      </c>
      <c r="R5" s="26"/>
      <c r="S5" s="20">
        <f t="shared" ref="S5:T5" si="10">O15</f>
        <v>0.1590994327</v>
      </c>
      <c r="T5" s="20">
        <f t="shared" si="10"/>
        <v>2.923047097</v>
      </c>
      <c r="U5" s="21">
        <f t="shared" si="6"/>
        <v>0.02509943274</v>
      </c>
      <c r="V5" s="21">
        <f t="shared" si="7"/>
        <v>0.4815145033</v>
      </c>
      <c r="W5" s="22">
        <f t="shared" si="8"/>
        <v>0.2318562169</v>
      </c>
      <c r="X5" s="23">
        <f t="shared" si="9"/>
        <v>0.01208574089</v>
      </c>
      <c r="Y5" s="26"/>
      <c r="Z5" s="26"/>
      <c r="AE5" s="25">
        <v>5.87</v>
      </c>
      <c r="AF5" s="25">
        <v>0.04</v>
      </c>
      <c r="AG5" s="25">
        <v>1.77</v>
      </c>
      <c r="AH5" s="25">
        <v>0.06</v>
      </c>
    </row>
    <row r="6" ht="15.75" customHeight="1">
      <c r="A6" s="28" t="s">
        <v>30</v>
      </c>
      <c r="B6" s="29">
        <f t="shared" ref="B6:G6" si="11">AVERAGE(B3:B5)</f>
        <v>7.016666667</v>
      </c>
      <c r="C6" s="29">
        <f t="shared" si="11"/>
        <v>8.333333333</v>
      </c>
      <c r="D6" s="29">
        <f t="shared" si="11"/>
        <v>10.37333333</v>
      </c>
      <c r="E6" s="29">
        <f t="shared" si="11"/>
        <v>11.68666667</v>
      </c>
      <c r="F6" s="29">
        <f t="shared" si="11"/>
        <v>13.06333333</v>
      </c>
      <c r="G6" s="29">
        <f t="shared" si="11"/>
        <v>15.33666667</v>
      </c>
      <c r="J6" s="27"/>
      <c r="K6" s="16" t="s">
        <v>8</v>
      </c>
      <c r="L6" s="17">
        <f>E6</f>
        <v>11.68666667</v>
      </c>
      <c r="M6" s="17">
        <f t="shared" si="2"/>
        <v>0.01025053945</v>
      </c>
      <c r="N6" s="17">
        <f t="shared" si="3"/>
        <v>0.4456756285</v>
      </c>
      <c r="O6" s="18">
        <f t="shared" si="4"/>
        <v>0.06085644415</v>
      </c>
      <c r="P6" s="17">
        <v>0.44567562847726905</v>
      </c>
      <c r="R6" s="6"/>
      <c r="S6" s="20">
        <f t="shared" ref="S6:T6" si="12">O21</f>
        <v>0.208138281</v>
      </c>
      <c r="T6" s="20">
        <f t="shared" si="12"/>
        <v>3.450655625</v>
      </c>
      <c r="U6" s="21">
        <f t="shared" si="6"/>
        <v>0.07413828095</v>
      </c>
      <c r="V6" s="21">
        <f t="shared" si="7"/>
        <v>1.009123031</v>
      </c>
      <c r="W6" s="22">
        <f t="shared" si="8"/>
        <v>1.018329292</v>
      </c>
      <c r="X6" s="23">
        <f t="shared" si="9"/>
        <v>0.07481464681</v>
      </c>
      <c r="Y6" s="6"/>
      <c r="Z6" s="6"/>
      <c r="AE6" s="25">
        <v>6.83</v>
      </c>
      <c r="AF6" s="25">
        <v>0.03</v>
      </c>
      <c r="AG6" s="25">
        <v>1.31</v>
      </c>
      <c r="AH6" s="25">
        <v>0.06</v>
      </c>
    </row>
    <row r="7" ht="15.75" customHeight="1">
      <c r="A7" s="30" t="s">
        <v>31</v>
      </c>
      <c r="B7" s="14">
        <v>5.65</v>
      </c>
      <c r="C7" s="14">
        <v>5.77</v>
      </c>
      <c r="D7" s="14">
        <v>7.16</v>
      </c>
      <c r="E7" s="14">
        <v>8.89</v>
      </c>
      <c r="F7" s="14">
        <v>9.88</v>
      </c>
      <c r="G7" s="14">
        <v>11.32</v>
      </c>
      <c r="J7" s="27"/>
      <c r="K7" s="16" t="s">
        <v>9</v>
      </c>
      <c r="L7" s="17">
        <f>F6</f>
        <v>13.06333333</v>
      </c>
      <c r="M7" s="17">
        <f t="shared" si="2"/>
        <v>0.008203893581</v>
      </c>
      <c r="N7" s="17">
        <f t="shared" si="3"/>
        <v>0.3566910253</v>
      </c>
      <c r="O7" s="18">
        <f t="shared" si="4"/>
        <v>0.06086915382</v>
      </c>
      <c r="P7" s="17">
        <v>0.3566910252571981</v>
      </c>
      <c r="R7" s="19" t="s">
        <v>6</v>
      </c>
      <c r="S7" s="20">
        <f t="shared" ref="S7:T7" si="13">O4</f>
        <v>0.0607949064</v>
      </c>
      <c r="T7" s="20">
        <f t="shared" si="13"/>
        <v>0.8765217391</v>
      </c>
      <c r="U7" s="21">
        <f t="shared" ref="U7:U10" si="15">S7 - $K$36</f>
        <v>-0.0692050936</v>
      </c>
      <c r="V7" s="21">
        <f t="shared" ref="V7:V10" si="16">T7 - $L$36</f>
        <v>-1.001944172</v>
      </c>
      <c r="W7" s="22">
        <f t="shared" si="8"/>
        <v>1.003892123</v>
      </c>
      <c r="X7" s="23">
        <f t="shared" si="9"/>
        <v>0.06933964017</v>
      </c>
      <c r="Y7" s="23">
        <f>SUM(X7:X10)</f>
        <v>0.1425775872</v>
      </c>
      <c r="Z7" s="23">
        <f>SUM(W7:W10)</f>
        <v>1.741852994</v>
      </c>
      <c r="AE7" s="25">
        <v>7.67</v>
      </c>
      <c r="AF7" s="25">
        <v>0.02</v>
      </c>
      <c r="AG7" s="25">
        <v>1.03</v>
      </c>
      <c r="AH7" s="25">
        <v>0.06</v>
      </c>
    </row>
    <row r="8" ht="15.75" customHeight="1">
      <c r="A8" s="26"/>
      <c r="B8" s="14">
        <v>5.45</v>
      </c>
      <c r="C8" s="14">
        <v>5.67</v>
      </c>
      <c r="D8" s="14">
        <v>8.01</v>
      </c>
      <c r="E8" s="14">
        <v>8.22</v>
      </c>
      <c r="F8" s="14">
        <v>9.43</v>
      </c>
      <c r="G8" s="14">
        <v>11.57</v>
      </c>
      <c r="J8" s="31"/>
      <c r="K8" s="16" t="s">
        <v>10</v>
      </c>
      <c r="L8" s="17">
        <f>G6</f>
        <v>15.33666667</v>
      </c>
      <c r="M8" s="17">
        <f t="shared" si="2"/>
        <v>0.005952043254</v>
      </c>
      <c r="N8" s="17">
        <f t="shared" si="3"/>
        <v>0.2587844893</v>
      </c>
      <c r="O8" s="18">
        <f t="shared" si="4"/>
        <v>0.06088313781</v>
      </c>
      <c r="P8" s="17">
        <v>0.258784489294859</v>
      </c>
      <c r="R8" s="26"/>
      <c r="S8" s="20">
        <f t="shared" ref="S8:T8" si="14">O10</f>
        <v>0.110092359</v>
      </c>
      <c r="T8" s="20">
        <f t="shared" si="14"/>
        <v>1.799085679</v>
      </c>
      <c r="U8" s="21">
        <f t="shared" si="15"/>
        <v>-0.019907641</v>
      </c>
      <c r="V8" s="21">
        <f t="shared" si="16"/>
        <v>-0.07938023168</v>
      </c>
      <c r="W8" s="22">
        <f t="shared" si="8"/>
        <v>0.006301221182</v>
      </c>
      <c r="X8" s="23">
        <f t="shared" si="9"/>
        <v>0.001580273155</v>
      </c>
      <c r="Y8" s="26"/>
      <c r="Z8" s="26"/>
      <c r="AE8" s="25">
        <v>8.8</v>
      </c>
      <c r="AF8" s="25">
        <v>0.02</v>
      </c>
      <c r="AG8" s="25">
        <v>0.79</v>
      </c>
      <c r="AH8" s="25">
        <v>0.06</v>
      </c>
    </row>
    <row r="9" ht="15.75" customHeight="1">
      <c r="A9" s="26"/>
      <c r="B9" s="14">
        <v>4.84</v>
      </c>
      <c r="C9" s="14">
        <v>6.01</v>
      </c>
      <c r="D9" s="14">
        <v>7.61</v>
      </c>
      <c r="E9" s="14">
        <v>8.75</v>
      </c>
      <c r="F9" s="14">
        <v>9.15</v>
      </c>
      <c r="G9" s="14">
        <v>10.67</v>
      </c>
      <c r="J9" s="15">
        <v>0.49</v>
      </c>
      <c r="K9" s="16" t="s">
        <v>29</v>
      </c>
      <c r="L9" s="17">
        <f>B10</f>
        <v>5.313333333</v>
      </c>
      <c r="M9" s="17">
        <f t="shared" si="2"/>
        <v>0.04958997747</v>
      </c>
      <c r="N9" s="17">
        <f t="shared" si="3"/>
        <v>2.156085977</v>
      </c>
      <c r="O9" s="18">
        <f t="shared" ref="O9:O14" si="19">$J$9*0.046/2*(9.81-M9)</f>
        <v>0.109999821</v>
      </c>
      <c r="P9" s="17">
        <v>2.156085977042681</v>
      </c>
      <c r="R9" s="26"/>
      <c r="S9" s="20">
        <f t="shared" ref="S9:T9" si="17">O16</f>
        <v>0.1593905353</v>
      </c>
      <c r="T9" s="20">
        <f t="shared" si="17"/>
        <v>2.147993075</v>
      </c>
      <c r="U9" s="21">
        <f t="shared" si="15"/>
        <v>0.02939053528</v>
      </c>
      <c r="V9" s="21">
        <f t="shared" si="16"/>
        <v>0.269527164</v>
      </c>
      <c r="W9" s="22">
        <f t="shared" si="8"/>
        <v>0.07264489215</v>
      </c>
      <c r="X9" s="23">
        <f t="shared" si="9"/>
        <v>0.007921547624</v>
      </c>
      <c r="Y9" s="26"/>
      <c r="Z9" s="26"/>
      <c r="AD9" s="24">
        <v>0.49</v>
      </c>
      <c r="AE9" s="25">
        <v>3.36</v>
      </c>
      <c r="AF9" s="25">
        <v>0.12</v>
      </c>
      <c r="AG9" s="25">
        <v>5.39</v>
      </c>
      <c r="AH9" s="25">
        <v>0.11</v>
      </c>
    </row>
    <row r="10" ht="15.75" customHeight="1">
      <c r="A10" s="28" t="s">
        <v>30</v>
      </c>
      <c r="B10" s="29">
        <f t="shared" ref="B10:G10" si="18">AVERAGE(B7:B9)</f>
        <v>5.313333333</v>
      </c>
      <c r="C10" s="29">
        <f t="shared" si="18"/>
        <v>5.816666667</v>
      </c>
      <c r="D10" s="29">
        <f t="shared" si="18"/>
        <v>7.593333333</v>
      </c>
      <c r="E10" s="29">
        <f t="shared" si="18"/>
        <v>8.62</v>
      </c>
      <c r="F10" s="29">
        <f t="shared" si="18"/>
        <v>9.486666667</v>
      </c>
      <c r="G10" s="29">
        <f t="shared" si="18"/>
        <v>11.18666667</v>
      </c>
      <c r="J10" s="27"/>
      <c r="K10" s="16" t="s">
        <v>6</v>
      </c>
      <c r="L10" s="17">
        <f>C10</f>
        <v>5.816666667</v>
      </c>
      <c r="M10" s="17">
        <f t="shared" si="2"/>
        <v>0.04137897062</v>
      </c>
      <c r="N10" s="17">
        <f t="shared" si="3"/>
        <v>1.799085679</v>
      </c>
      <c r="O10" s="18">
        <f t="shared" si="19"/>
        <v>0.110092359</v>
      </c>
      <c r="P10" s="17">
        <v>1.79908567895673</v>
      </c>
      <c r="R10" s="6"/>
      <c r="S10" s="20">
        <f t="shared" ref="S10:T10" si="20">O22</f>
        <v>0.2085123712</v>
      </c>
      <c r="T10" s="20">
        <f t="shared" si="20"/>
        <v>2.69026315</v>
      </c>
      <c r="U10" s="21">
        <f t="shared" si="15"/>
        <v>0.07851237124</v>
      </c>
      <c r="V10" s="21">
        <f t="shared" si="16"/>
        <v>0.8117972392</v>
      </c>
      <c r="W10" s="22">
        <f t="shared" si="8"/>
        <v>0.6590147575</v>
      </c>
      <c r="X10" s="23">
        <f t="shared" si="9"/>
        <v>0.06373612621</v>
      </c>
      <c r="Y10" s="6"/>
      <c r="Z10" s="6"/>
      <c r="AE10" s="25">
        <v>3.99</v>
      </c>
      <c r="AF10" s="25">
        <v>0.09</v>
      </c>
      <c r="AG10" s="25">
        <v>3.82</v>
      </c>
      <c r="AH10" s="25">
        <v>0.11</v>
      </c>
    </row>
    <row r="11" ht="15.75" customHeight="1">
      <c r="A11" s="30" t="s">
        <v>32</v>
      </c>
      <c r="B11" s="14">
        <v>4.69</v>
      </c>
      <c r="C11" s="14">
        <v>5.6</v>
      </c>
      <c r="D11" s="14">
        <v>5.92</v>
      </c>
      <c r="E11" s="14">
        <v>6.71</v>
      </c>
      <c r="F11" s="14">
        <v>7.77</v>
      </c>
      <c r="G11" s="14">
        <v>9.5</v>
      </c>
      <c r="J11" s="27"/>
      <c r="K11" s="16" t="s">
        <v>7</v>
      </c>
      <c r="L11" s="17">
        <f>D10</f>
        <v>7.593333333</v>
      </c>
      <c r="M11" s="17">
        <f t="shared" si="2"/>
        <v>0.02428080637</v>
      </c>
      <c r="N11" s="17">
        <f t="shared" si="3"/>
        <v>1.055687233</v>
      </c>
      <c r="O11" s="18">
        <f t="shared" si="19"/>
        <v>0.1102850553</v>
      </c>
      <c r="P11" s="17">
        <v>1.0556872334536358</v>
      </c>
      <c r="R11" s="19" t="s">
        <v>7</v>
      </c>
      <c r="S11" s="20">
        <f t="shared" ref="S11:T11" si="21">O5</f>
        <v>0.06083930528</v>
      </c>
      <c r="T11" s="20">
        <f t="shared" si="21"/>
        <v>0.5656705024</v>
      </c>
      <c r="U11" s="21">
        <f t="shared" ref="U11:U14" si="23">S11 - $K$40</f>
        <v>-0.06916069472</v>
      </c>
      <c r="V11" s="21">
        <f t="shared" ref="V11:V14" si="24">T11 - $L$40</f>
        <v>-0.7992979345</v>
      </c>
      <c r="W11" s="22">
        <f t="shared" si="8"/>
        <v>0.6388771881</v>
      </c>
      <c r="X11" s="23">
        <f t="shared" si="9"/>
        <v>0.05528000044</v>
      </c>
      <c r="Y11" s="23">
        <f>SUM(X11:X14)</f>
        <v>0.1284665969</v>
      </c>
      <c r="Z11" s="23">
        <f>SUM(W11:W14)</f>
        <v>1.389699114</v>
      </c>
      <c r="AE11" s="25">
        <v>4.53</v>
      </c>
      <c r="AF11" s="25">
        <v>0.07</v>
      </c>
      <c r="AG11" s="25">
        <v>2.97</v>
      </c>
      <c r="AH11" s="25">
        <v>0.11</v>
      </c>
    </row>
    <row r="12" ht="15.75" customHeight="1">
      <c r="A12" s="26"/>
      <c r="B12" s="14">
        <v>4.33</v>
      </c>
      <c r="C12" s="14">
        <v>5.38</v>
      </c>
      <c r="D12" s="14">
        <v>6.15</v>
      </c>
      <c r="E12" s="14">
        <v>7.2</v>
      </c>
      <c r="F12" s="14">
        <v>8.24</v>
      </c>
      <c r="G12" s="14">
        <v>8.49</v>
      </c>
      <c r="J12" s="27"/>
      <c r="K12" s="16" t="s">
        <v>8</v>
      </c>
      <c r="L12" s="17">
        <f>E10</f>
        <v>8.62</v>
      </c>
      <c r="M12" s="17">
        <f t="shared" si="2"/>
        <v>0.01884141451</v>
      </c>
      <c r="N12" s="17">
        <f t="shared" si="3"/>
        <v>0.819191935</v>
      </c>
      <c r="O12" s="18">
        <f t="shared" si="19"/>
        <v>0.1103463573</v>
      </c>
      <c r="P12" s="17">
        <v>0.8191919350319943</v>
      </c>
      <c r="R12" s="26"/>
      <c r="S12" s="20">
        <f t="shared" ref="S12:T12" si="22">O11</f>
        <v>0.1102850553</v>
      </c>
      <c r="T12" s="20">
        <f t="shared" si="22"/>
        <v>1.055687233</v>
      </c>
      <c r="U12" s="21">
        <f t="shared" si="23"/>
        <v>-0.01971494469</v>
      </c>
      <c r="V12" s="21">
        <f t="shared" si="24"/>
        <v>-0.3092812034</v>
      </c>
      <c r="W12" s="22">
        <f t="shared" si="8"/>
        <v>0.09565486278</v>
      </c>
      <c r="X12" s="23">
        <f t="shared" si="9"/>
        <v>0.006097461818</v>
      </c>
      <c r="Y12" s="26"/>
      <c r="Z12" s="26"/>
      <c r="AE12" s="25">
        <v>5.22</v>
      </c>
      <c r="AF12" s="25">
        <v>0.05</v>
      </c>
      <c r="AG12" s="25">
        <v>2.24</v>
      </c>
      <c r="AH12" s="25">
        <v>0.11</v>
      </c>
    </row>
    <row r="13" ht="15.75" customHeight="1">
      <c r="A13" s="26"/>
      <c r="B13" s="14">
        <v>4.67</v>
      </c>
      <c r="C13" s="14">
        <v>4.99</v>
      </c>
      <c r="D13" s="14">
        <v>5.49</v>
      </c>
      <c r="E13" s="14">
        <v>6.86</v>
      </c>
      <c r="F13" s="14">
        <v>8.45</v>
      </c>
      <c r="G13" s="14">
        <v>9.33</v>
      </c>
      <c r="J13" s="27"/>
      <c r="K13" s="16" t="s">
        <v>9</v>
      </c>
      <c r="L13" s="17">
        <f>F10</f>
        <v>9.486666667</v>
      </c>
      <c r="M13" s="17">
        <f t="shared" si="2"/>
        <v>0.01555610098</v>
      </c>
      <c r="N13" s="17">
        <f t="shared" si="3"/>
        <v>0.6763522165</v>
      </c>
      <c r="O13" s="18">
        <f t="shared" si="19"/>
        <v>0.1103833827</v>
      </c>
      <c r="P13" s="17">
        <v>0.676352216493173</v>
      </c>
      <c r="R13" s="26"/>
      <c r="S13" s="20">
        <f t="shared" ref="S13:T13" si="25">O17</f>
        <v>0.1595300206</v>
      </c>
      <c r="T13" s="20">
        <f t="shared" si="25"/>
        <v>1.776616478</v>
      </c>
      <c r="U13" s="21">
        <f t="shared" si="23"/>
        <v>0.02953002062</v>
      </c>
      <c r="V13" s="21">
        <f t="shared" si="24"/>
        <v>0.4116480416</v>
      </c>
      <c r="W13" s="22">
        <f t="shared" si="8"/>
        <v>0.1694541102</v>
      </c>
      <c r="X13" s="23">
        <f t="shared" si="9"/>
        <v>0.01215597516</v>
      </c>
      <c r="Y13" s="26"/>
      <c r="Z13" s="26"/>
      <c r="AE13" s="25">
        <v>5.82</v>
      </c>
      <c r="AF13" s="25">
        <v>0.04</v>
      </c>
      <c r="AG13" s="25">
        <v>1.79</v>
      </c>
      <c r="AH13" s="25">
        <v>0.11</v>
      </c>
    </row>
    <row r="14" ht="15.75" customHeight="1">
      <c r="A14" s="28" t="s">
        <v>30</v>
      </c>
      <c r="B14" s="29">
        <f t="shared" ref="B14:G14" si="26">AVERAGE(B11:B13)</f>
        <v>4.563333333</v>
      </c>
      <c r="C14" s="29">
        <f t="shared" si="26"/>
        <v>5.323333333</v>
      </c>
      <c r="D14" s="29">
        <f t="shared" si="26"/>
        <v>5.853333333</v>
      </c>
      <c r="E14" s="29">
        <f t="shared" si="26"/>
        <v>6.923333333</v>
      </c>
      <c r="F14" s="29">
        <f t="shared" si="26"/>
        <v>8.153333333</v>
      </c>
      <c r="G14" s="29">
        <f t="shared" si="26"/>
        <v>9.106666667</v>
      </c>
      <c r="J14" s="31"/>
      <c r="K14" s="16" t="s">
        <v>10</v>
      </c>
      <c r="L14" s="17">
        <f>G10</f>
        <v>11.18666667</v>
      </c>
      <c r="M14" s="17">
        <f t="shared" si="2"/>
        <v>0.01118733494</v>
      </c>
      <c r="N14" s="17">
        <f t="shared" si="3"/>
        <v>0.4864058671</v>
      </c>
      <c r="O14" s="18">
        <f t="shared" si="19"/>
        <v>0.1104326187</v>
      </c>
      <c r="P14" s="17">
        <v>0.48640586706153965</v>
      </c>
      <c r="R14" s="6"/>
      <c r="S14" s="20">
        <f t="shared" ref="S14:T14" si="27">O23</f>
        <v>0.2088215073</v>
      </c>
      <c r="T14" s="20">
        <f t="shared" si="27"/>
        <v>2.061899533</v>
      </c>
      <c r="U14" s="21">
        <f t="shared" si="23"/>
        <v>0.07882150729</v>
      </c>
      <c r="V14" s="21">
        <f t="shared" si="24"/>
        <v>0.6969310963</v>
      </c>
      <c r="W14" s="22">
        <f t="shared" si="8"/>
        <v>0.485712953</v>
      </c>
      <c r="X14" s="23">
        <f t="shared" si="9"/>
        <v>0.05493315948</v>
      </c>
      <c r="Y14" s="6"/>
      <c r="Z14" s="6"/>
      <c r="AE14" s="25">
        <v>6.57</v>
      </c>
      <c r="AF14" s="25">
        <v>0.03</v>
      </c>
      <c r="AG14" s="25">
        <v>1.41</v>
      </c>
      <c r="AH14" s="25">
        <v>0.11</v>
      </c>
    </row>
    <row r="15" ht="15.75" customHeight="1">
      <c r="A15" s="30" t="s">
        <v>33</v>
      </c>
      <c r="B15" s="14">
        <v>4.3</v>
      </c>
      <c r="C15" s="14">
        <v>4.54</v>
      </c>
      <c r="D15" s="14">
        <v>5.56</v>
      </c>
      <c r="E15" s="14">
        <v>6.32</v>
      </c>
      <c r="F15" s="14">
        <v>6.65</v>
      </c>
      <c r="G15" s="14">
        <v>7.59</v>
      </c>
      <c r="J15" s="15">
        <v>0.71</v>
      </c>
      <c r="K15" s="16" t="s">
        <v>29</v>
      </c>
      <c r="L15" s="17">
        <f>B14</f>
        <v>4.563333333</v>
      </c>
      <c r="M15" s="17">
        <f t="shared" si="2"/>
        <v>0.06723008322</v>
      </c>
      <c r="N15" s="17">
        <f t="shared" si="3"/>
        <v>2.923047097</v>
      </c>
      <c r="O15" s="18">
        <f t="shared" ref="O15:O20" si="29">$J$15*0.046/2*(9.81-M15)</f>
        <v>0.1590994327</v>
      </c>
      <c r="P15" s="17">
        <v>2.9230470965755964</v>
      </c>
      <c r="R15" s="19" t="s">
        <v>8</v>
      </c>
      <c r="S15" s="20">
        <f t="shared" ref="S15:T15" si="28">O6</f>
        <v>0.06085644415</v>
      </c>
      <c r="T15" s="20">
        <f t="shared" si="28"/>
        <v>0.4456756285</v>
      </c>
      <c r="U15" s="21">
        <f t="shared" ref="U15:U18" si="31">S15 - $K$44</f>
        <v>-0.06914355585</v>
      </c>
      <c r="V15" s="21">
        <f t="shared" ref="V15:V18" si="32">T15 - $L$44</f>
        <v>-0.5714225839</v>
      </c>
      <c r="W15" s="22">
        <f t="shared" si="8"/>
        <v>0.3265237694</v>
      </c>
      <c r="X15" s="23">
        <f t="shared" si="9"/>
        <v>0.03951018934</v>
      </c>
      <c r="Y15" s="23">
        <f>SUM(X15:X18)</f>
        <v>0.09176078085</v>
      </c>
      <c r="Z15" s="23">
        <f>SUM(W15:W18)</f>
        <v>0.6963993281</v>
      </c>
      <c r="AD15" s="24">
        <v>0.71</v>
      </c>
      <c r="AE15" s="25">
        <v>2.63</v>
      </c>
      <c r="AF15" s="25">
        <v>0.2</v>
      </c>
      <c r="AG15" s="25">
        <v>8.78</v>
      </c>
      <c r="AH15" s="25">
        <v>0.16</v>
      </c>
    </row>
    <row r="16" ht="15.75" customHeight="1">
      <c r="A16" s="26"/>
      <c r="B16" s="14">
        <v>4.25</v>
      </c>
      <c r="C16" s="14">
        <v>4.94</v>
      </c>
      <c r="D16" s="14">
        <v>5.5</v>
      </c>
      <c r="E16" s="14">
        <v>6.19</v>
      </c>
      <c r="F16" s="14">
        <v>7.1</v>
      </c>
      <c r="G16" s="14">
        <v>8.15</v>
      </c>
      <c r="J16" s="27"/>
      <c r="K16" s="16" t="s">
        <v>6</v>
      </c>
      <c r="L16" s="17">
        <f>C14</f>
        <v>5.323333333</v>
      </c>
      <c r="M16" s="17">
        <f t="shared" si="2"/>
        <v>0.04940384072</v>
      </c>
      <c r="N16" s="17">
        <f t="shared" si="3"/>
        <v>2.147993075</v>
      </c>
      <c r="O16" s="18">
        <f t="shared" si="29"/>
        <v>0.1593905353</v>
      </c>
      <c r="P16" s="17">
        <v>2.1479930746657563</v>
      </c>
      <c r="R16" s="26"/>
      <c r="S16" s="20">
        <f t="shared" ref="S16:T16" si="30">O12</f>
        <v>0.1103463573</v>
      </c>
      <c r="T16" s="20">
        <f t="shared" si="30"/>
        <v>0.819191935</v>
      </c>
      <c r="U16" s="21">
        <f t="shared" si="31"/>
        <v>-0.01965364274</v>
      </c>
      <c r="V16" s="21">
        <f t="shared" si="32"/>
        <v>-0.1979062773</v>
      </c>
      <c r="W16" s="22">
        <f t="shared" si="8"/>
        <v>0.0391668946</v>
      </c>
      <c r="X16" s="23">
        <f t="shared" si="9"/>
        <v>0.003889579271</v>
      </c>
      <c r="Y16" s="26"/>
      <c r="Z16" s="26"/>
      <c r="AE16" s="25">
        <v>3.25</v>
      </c>
      <c r="AF16" s="25">
        <v>0.13</v>
      </c>
      <c r="AG16" s="25">
        <v>5.76</v>
      </c>
      <c r="AH16" s="25">
        <v>0.16</v>
      </c>
    </row>
    <row r="17" ht="15.75" customHeight="1">
      <c r="A17" s="26"/>
      <c r="B17" s="14">
        <v>4.05</v>
      </c>
      <c r="C17" s="14">
        <v>4.79</v>
      </c>
      <c r="D17" s="14">
        <v>5.24</v>
      </c>
      <c r="E17" s="14">
        <v>6.39</v>
      </c>
      <c r="F17" s="14">
        <v>6.84</v>
      </c>
      <c r="G17" s="14">
        <v>7.7</v>
      </c>
      <c r="J17" s="27"/>
      <c r="K17" s="16" t="s">
        <v>7</v>
      </c>
      <c r="L17" s="17">
        <f>D14</f>
        <v>5.853333333</v>
      </c>
      <c r="M17" s="17">
        <f t="shared" si="2"/>
        <v>0.040862179</v>
      </c>
      <c r="N17" s="17">
        <f t="shared" si="3"/>
        <v>1.776616478</v>
      </c>
      <c r="O17" s="18">
        <f t="shared" si="29"/>
        <v>0.1595300206</v>
      </c>
      <c r="P17" s="17">
        <v>1.7766164784731602</v>
      </c>
      <c r="R17" s="26"/>
      <c r="S17" s="20">
        <f t="shared" ref="S17:T17" si="33">O18</f>
        <v>0.159720338</v>
      </c>
      <c r="T17" s="20">
        <f t="shared" si="33"/>
        <v>1.269900564</v>
      </c>
      <c r="U17" s="21">
        <f t="shared" si="31"/>
        <v>0.02972033805</v>
      </c>
      <c r="V17" s="21">
        <f t="shared" si="32"/>
        <v>0.2528023515</v>
      </c>
      <c r="W17" s="22">
        <f t="shared" si="8"/>
        <v>0.06390902893</v>
      </c>
      <c r="X17" s="23">
        <f t="shared" si="9"/>
        <v>0.007513371346</v>
      </c>
      <c r="Y17" s="26"/>
      <c r="Z17" s="26"/>
      <c r="AE17" s="25">
        <v>3.8</v>
      </c>
      <c r="AF17" s="25">
        <v>0.1</v>
      </c>
      <c r="AG17" s="25">
        <v>4.22</v>
      </c>
      <c r="AH17" s="25">
        <v>0.16</v>
      </c>
    </row>
    <row r="18" ht="15.75" customHeight="1">
      <c r="A18" s="28" t="s">
        <v>30</v>
      </c>
      <c r="B18" s="29">
        <f t="shared" ref="B18:D18" si="34">AVERAGE(B15:B17)</f>
        <v>4.2</v>
      </c>
      <c r="C18" s="29">
        <f t="shared" si="34"/>
        <v>4.756666667</v>
      </c>
      <c r="D18" s="29">
        <f t="shared" si="34"/>
        <v>5.433333333</v>
      </c>
      <c r="E18" s="29">
        <f>AVERAGE(E15, E16, E17)</f>
        <v>6.3</v>
      </c>
      <c r="F18" s="29">
        <f t="shared" ref="F18:G18" si="35">AVERAGE(F15:F17)</f>
        <v>6.863333333</v>
      </c>
      <c r="G18" s="29">
        <f t="shared" si="35"/>
        <v>7.813333333</v>
      </c>
      <c r="J18" s="27"/>
      <c r="K18" s="16" t="s">
        <v>8</v>
      </c>
      <c r="L18" s="17">
        <f>E14</f>
        <v>6.923333333</v>
      </c>
      <c r="M18" s="17">
        <f t="shared" si="2"/>
        <v>0.02920771297</v>
      </c>
      <c r="N18" s="17">
        <f t="shared" si="3"/>
        <v>1.269900564</v>
      </c>
      <c r="O18" s="18">
        <f t="shared" si="29"/>
        <v>0.159720338</v>
      </c>
      <c r="P18" s="17">
        <v>1.2699005638630627</v>
      </c>
      <c r="R18" s="6"/>
      <c r="S18" s="20">
        <f t="shared" ref="S18:T18" si="36">O24</f>
        <v>0.2090814026</v>
      </c>
      <c r="T18" s="20">
        <f t="shared" si="36"/>
        <v>1.533624722</v>
      </c>
      <c r="U18" s="21">
        <f t="shared" si="31"/>
        <v>0.07908140265</v>
      </c>
      <c r="V18" s="21">
        <f t="shared" si="32"/>
        <v>0.5165265097</v>
      </c>
      <c r="W18" s="22">
        <f t="shared" si="8"/>
        <v>0.2667996352</v>
      </c>
      <c r="X18" s="23">
        <f t="shared" si="9"/>
        <v>0.04084764089</v>
      </c>
      <c r="Y18" s="6"/>
      <c r="Z18" s="6"/>
      <c r="AE18" s="25">
        <v>4.17</v>
      </c>
      <c r="AF18" s="25">
        <v>0.08</v>
      </c>
      <c r="AG18" s="25">
        <v>3.51</v>
      </c>
      <c r="AH18" s="25">
        <v>0.16</v>
      </c>
    </row>
    <row r="19" ht="15.75" customHeight="1">
      <c r="J19" s="27"/>
      <c r="K19" s="16" t="s">
        <v>9</v>
      </c>
      <c r="L19" s="17">
        <f>F14</f>
        <v>8.153333333</v>
      </c>
      <c r="M19" s="17">
        <f t="shared" si="2"/>
        <v>0.02105996474</v>
      </c>
      <c r="N19" s="17">
        <f t="shared" si="3"/>
        <v>0.9156506409</v>
      </c>
      <c r="O19" s="18">
        <f t="shared" si="29"/>
        <v>0.1598533908</v>
      </c>
      <c r="P19" s="17">
        <v>0.9156506408522564</v>
      </c>
      <c r="R19" s="19" t="s">
        <v>9</v>
      </c>
      <c r="S19" s="20">
        <f t="shared" ref="S19:T19" si="37">O7</f>
        <v>0.06086915382</v>
      </c>
      <c r="T19" s="20">
        <f t="shared" si="37"/>
        <v>0.3566910253</v>
      </c>
      <c r="U19" s="21">
        <f t="shared" ref="U19:U22" si="39">S19 - $K$48</f>
        <v>-0.06913084618</v>
      </c>
      <c r="V19" s="21">
        <f t="shared" ref="V19:V22" si="40">T19 - $L$48</f>
        <v>-0.453532653</v>
      </c>
      <c r="W19" s="22">
        <f t="shared" si="8"/>
        <v>0.2056918674</v>
      </c>
      <c r="X19" s="23">
        <f t="shared" si="9"/>
        <v>0.03135309607</v>
      </c>
      <c r="Y19" s="23">
        <f>SUM(X19:X22)</f>
        <v>0.07529922888</v>
      </c>
      <c r="Z19" s="23">
        <f>SUM(W19:W22)</f>
        <v>0.4670302554</v>
      </c>
      <c r="AE19" s="25">
        <v>4.87</v>
      </c>
      <c r="AF19" s="25">
        <v>0.06</v>
      </c>
      <c r="AG19" s="25">
        <v>2.57</v>
      </c>
      <c r="AH19" s="25">
        <v>0.16</v>
      </c>
    </row>
    <row r="20" ht="15.75" customHeight="1">
      <c r="J20" s="31"/>
      <c r="K20" s="16" t="s">
        <v>10</v>
      </c>
      <c r="L20" s="17">
        <f>G14</f>
        <v>9.106666667</v>
      </c>
      <c r="M20" s="17">
        <f t="shared" si="2"/>
        <v>0.016881427</v>
      </c>
      <c r="N20" s="17">
        <f t="shared" si="3"/>
        <v>0.733975087</v>
      </c>
      <c r="O20" s="18">
        <f t="shared" si="29"/>
        <v>0.1599216263</v>
      </c>
      <c r="P20" s="17">
        <v>0.7339750869748826</v>
      </c>
      <c r="R20" s="26"/>
      <c r="S20" s="20">
        <f t="shared" ref="S20:T20" si="38">O13</f>
        <v>0.1103833827</v>
      </c>
      <c r="T20" s="20">
        <f t="shared" si="38"/>
        <v>0.6763522165</v>
      </c>
      <c r="U20" s="21">
        <f t="shared" si="39"/>
        <v>-0.01961661726</v>
      </c>
      <c r="V20" s="21">
        <f t="shared" si="40"/>
        <v>-0.1338714618</v>
      </c>
      <c r="W20" s="22">
        <f t="shared" si="8"/>
        <v>0.01792156829</v>
      </c>
      <c r="X20" s="23">
        <f t="shared" si="9"/>
        <v>0.002626105228</v>
      </c>
      <c r="Y20" s="26"/>
      <c r="Z20" s="26"/>
      <c r="AE20" s="25">
        <v>5.35</v>
      </c>
      <c r="AF20" s="25">
        <v>0.05</v>
      </c>
      <c r="AG20" s="25">
        <v>2.13</v>
      </c>
      <c r="AH20" s="25">
        <v>0.16</v>
      </c>
    </row>
    <row r="21" ht="15.75" customHeight="1">
      <c r="B21" s="32" t="s">
        <v>34</v>
      </c>
      <c r="F21" s="33"/>
      <c r="G21" s="33"/>
      <c r="J21" s="15">
        <v>0.93</v>
      </c>
      <c r="K21" s="16" t="s">
        <v>29</v>
      </c>
      <c r="L21" s="17">
        <f>B18</f>
        <v>4.2</v>
      </c>
      <c r="M21" s="17">
        <f t="shared" si="2"/>
        <v>0.07936507937</v>
      </c>
      <c r="N21" s="17">
        <f t="shared" si="3"/>
        <v>3.450655625</v>
      </c>
      <c r="O21" s="18">
        <f t="shared" ref="O21:O26" si="42">$J$21*0.046/2*(9.81-M21)</f>
        <v>0.208138281</v>
      </c>
      <c r="P21" s="17">
        <v>3.4506556245686677</v>
      </c>
      <c r="R21" s="26"/>
      <c r="S21" s="20">
        <f t="shared" ref="S21:T21" si="41">O19</f>
        <v>0.1598533908</v>
      </c>
      <c r="T21" s="20">
        <f t="shared" si="41"/>
        <v>0.9156506409</v>
      </c>
      <c r="U21" s="21">
        <f t="shared" si="39"/>
        <v>0.02985339078</v>
      </c>
      <c r="V21" s="21">
        <f t="shared" si="40"/>
        <v>0.1054269625</v>
      </c>
      <c r="W21" s="22">
        <f t="shared" si="8"/>
        <v>0.01111484443</v>
      </c>
      <c r="X21" s="23">
        <f t="shared" si="9"/>
        <v>0.003147352311</v>
      </c>
      <c r="Y21" s="26"/>
      <c r="Z21" s="26"/>
      <c r="AD21" s="24">
        <v>0.93</v>
      </c>
      <c r="AE21" s="25">
        <v>2.22</v>
      </c>
      <c r="AF21" s="25">
        <v>0.28</v>
      </c>
      <c r="AG21" s="25">
        <v>12.39</v>
      </c>
      <c r="AH21" s="25">
        <v>0.2</v>
      </c>
    </row>
    <row r="22" ht="15.75" customHeight="1">
      <c r="A22" s="34">
        <v>1.0</v>
      </c>
      <c r="B22" s="34">
        <f>(((B3-B6)^2+(B4-B6)^2+(B5-B6)^2)/(3*2))^0.5</f>
        <v>0.09404490653</v>
      </c>
      <c r="C22" s="34">
        <f t="shared" ref="C22:C25" si="44">B22*4.3</f>
        <v>0.4043930981</v>
      </c>
      <c r="D22" s="34">
        <f t="shared" ref="D22:D25" si="45">((C22^2)+(2/3*0.01)^2)^0.5</f>
        <v>0.4044480464</v>
      </c>
      <c r="F22" s="33">
        <v>1.0</v>
      </c>
      <c r="G22" s="35">
        <f t="shared" ref="G22:G25" si="46">D22</f>
        <v>0.4044480464</v>
      </c>
      <c r="J22" s="27"/>
      <c r="K22" s="16" t="s">
        <v>6</v>
      </c>
      <c r="L22" s="17">
        <f>C18</f>
        <v>4.756666667</v>
      </c>
      <c r="M22" s="17">
        <f t="shared" si="2"/>
        <v>0.06187605245</v>
      </c>
      <c r="N22" s="17">
        <f t="shared" si="3"/>
        <v>2.69026315</v>
      </c>
      <c r="O22" s="18">
        <f t="shared" si="42"/>
        <v>0.2085123712</v>
      </c>
      <c r="P22" s="17">
        <v>2.690263149798101</v>
      </c>
      <c r="R22" s="6"/>
      <c r="S22" s="20">
        <f t="shared" ref="S22:T22" si="43">O25</f>
        <v>0.209200176</v>
      </c>
      <c r="T22" s="20">
        <f t="shared" si="43"/>
        <v>1.292200831</v>
      </c>
      <c r="U22" s="21">
        <f t="shared" si="39"/>
        <v>0.07920017596</v>
      </c>
      <c r="V22" s="21">
        <f t="shared" si="40"/>
        <v>0.4819771523</v>
      </c>
      <c r="W22" s="22">
        <f t="shared" si="8"/>
        <v>0.2323019753</v>
      </c>
      <c r="X22" s="23">
        <f t="shared" si="9"/>
        <v>0.03817267527</v>
      </c>
      <c r="Y22" s="6"/>
      <c r="Z22" s="6"/>
      <c r="AE22" s="25">
        <v>2.88</v>
      </c>
      <c r="AF22" s="25">
        <v>0.17</v>
      </c>
      <c r="AG22" s="25">
        <v>7.34</v>
      </c>
      <c r="AH22" s="25">
        <v>0.21</v>
      </c>
    </row>
    <row r="23" ht="15.75" customHeight="1">
      <c r="A23" s="34">
        <v>2.0</v>
      </c>
      <c r="B23" s="34">
        <f>(((B7-B10)^2+(B8-B10)^2+(B9-B10)^2)/(3*2))^0.5</f>
        <v>0.2436071519</v>
      </c>
      <c r="C23" s="34">
        <f t="shared" si="44"/>
        <v>1.047510753</v>
      </c>
      <c r="D23" s="34">
        <f t="shared" si="45"/>
        <v>1.047531967</v>
      </c>
      <c r="F23" s="33">
        <v>2.0</v>
      </c>
      <c r="G23" s="35">
        <f t="shared" si="46"/>
        <v>1.047531967</v>
      </c>
      <c r="J23" s="27"/>
      <c r="K23" s="16" t="s">
        <v>7</v>
      </c>
      <c r="L23" s="17">
        <f>D18</f>
        <v>5.433333333</v>
      </c>
      <c r="M23" s="17">
        <f t="shared" si="2"/>
        <v>0.04742368926</v>
      </c>
      <c r="N23" s="17">
        <f t="shared" si="3"/>
        <v>2.061899533</v>
      </c>
      <c r="O23" s="18">
        <f t="shared" si="42"/>
        <v>0.2088215073</v>
      </c>
      <c r="P23" s="17">
        <v>2.0618995331270344</v>
      </c>
      <c r="R23" s="19" t="s">
        <v>10</v>
      </c>
      <c r="S23" s="20">
        <f t="shared" ref="S23:T23" si="47">O8</f>
        <v>0.06088313781</v>
      </c>
      <c r="T23" s="20">
        <f t="shared" si="47"/>
        <v>0.2587844893</v>
      </c>
      <c r="U23" s="21">
        <f t="shared" ref="U23:U26" si="49">S23 - $K$52</f>
        <v>-0.06911686219</v>
      </c>
      <c r="V23" s="21">
        <f t="shared" ref="V23:V26" si="50">T23 - $L$52</f>
        <v>-0.3602754305</v>
      </c>
      <c r="W23" s="22">
        <f t="shared" si="8"/>
        <v>0.1297983859</v>
      </c>
      <c r="X23" s="23">
        <f t="shared" si="9"/>
        <v>0.02490110728</v>
      </c>
      <c r="Y23" s="23">
        <f>SUM(X23:X26)</f>
        <v>0.06092893395</v>
      </c>
      <c r="Z23" s="23">
        <f>SUM(W23:W26)</f>
        <v>0.3034958024</v>
      </c>
      <c r="AE23" s="25">
        <v>3.34</v>
      </c>
      <c r="AF23" s="25">
        <v>0.13</v>
      </c>
      <c r="AG23" s="25">
        <v>5.47</v>
      </c>
      <c r="AH23" s="25">
        <v>0.21</v>
      </c>
    </row>
    <row r="24" ht="15.75" customHeight="1">
      <c r="A24" s="34">
        <v>3.0</v>
      </c>
      <c r="B24" s="34">
        <f>(((B11-B14)^2+(B12-B14)^2+(B13-B14)^2)/(3*2))^0.5</f>
        <v>0.1168094365</v>
      </c>
      <c r="C24" s="34">
        <f t="shared" si="44"/>
        <v>0.5022805767</v>
      </c>
      <c r="D24" s="34">
        <f t="shared" si="45"/>
        <v>0.5023248174</v>
      </c>
      <c r="F24" s="33">
        <v>3.0</v>
      </c>
      <c r="G24" s="35">
        <f t="shared" si="46"/>
        <v>0.5023248174</v>
      </c>
      <c r="J24" s="27"/>
      <c r="K24" s="16" t="s">
        <v>8</v>
      </c>
      <c r="L24" s="17">
        <f>E18</f>
        <v>6.3</v>
      </c>
      <c r="M24" s="17">
        <f t="shared" si="2"/>
        <v>0.03527336861</v>
      </c>
      <c r="N24" s="17">
        <f t="shared" si="3"/>
        <v>1.533624722</v>
      </c>
      <c r="O24" s="18">
        <f t="shared" si="42"/>
        <v>0.2090814026</v>
      </c>
      <c r="P24" s="17">
        <v>1.5336247220305184</v>
      </c>
      <c r="R24" s="26"/>
      <c r="S24" s="20">
        <f t="shared" ref="S24:T24" si="48">O14</f>
        <v>0.1104326187</v>
      </c>
      <c r="T24" s="20">
        <f t="shared" si="48"/>
        <v>0.4864058671</v>
      </c>
      <c r="U24" s="21">
        <f t="shared" si="49"/>
        <v>-0.01956738126</v>
      </c>
      <c r="V24" s="21">
        <f t="shared" si="50"/>
        <v>-0.1326540528</v>
      </c>
      <c r="W24" s="22">
        <f t="shared" si="8"/>
        <v>0.01759709772</v>
      </c>
      <c r="X24" s="23">
        <f t="shared" si="9"/>
        <v>0.002595692427</v>
      </c>
      <c r="Y24" s="26"/>
      <c r="Z24" s="26"/>
      <c r="AE24" s="25">
        <v>3.66</v>
      </c>
      <c r="AF24" s="25">
        <v>0.1</v>
      </c>
      <c r="AG24" s="25">
        <v>4.55</v>
      </c>
      <c r="AH24" s="25">
        <v>0.21</v>
      </c>
    </row>
    <row r="25" ht="15.75" customHeight="1">
      <c r="A25" s="34">
        <v>4.0</v>
      </c>
      <c r="B25" s="34">
        <f>(((B15-B18)^2+(B16-B18)^2+(B17-B18)^2)/(3*2))^0.5</f>
        <v>0.07637626158</v>
      </c>
      <c r="C25" s="34">
        <f t="shared" si="44"/>
        <v>0.3284179248</v>
      </c>
      <c r="D25" s="34">
        <f t="shared" si="45"/>
        <v>0.3284855823</v>
      </c>
      <c r="F25" s="33">
        <v>4.0</v>
      </c>
      <c r="G25" s="35">
        <f t="shared" si="46"/>
        <v>0.3284855823</v>
      </c>
      <c r="J25" s="27"/>
      <c r="K25" s="16" t="s">
        <v>9</v>
      </c>
      <c r="L25" s="17">
        <f>F18</f>
        <v>6.863333333</v>
      </c>
      <c r="M25" s="17">
        <f t="shared" si="2"/>
        <v>0.0297206191</v>
      </c>
      <c r="N25" s="17">
        <f t="shared" si="3"/>
        <v>1.292200831</v>
      </c>
      <c r="O25" s="18">
        <f t="shared" si="42"/>
        <v>0.209200176</v>
      </c>
      <c r="P25" s="17">
        <v>1.2922008306123363</v>
      </c>
      <c r="R25" s="26"/>
      <c r="S25" s="20">
        <f t="shared" ref="S25:T25" si="51">O20</f>
        <v>0.1599216263</v>
      </c>
      <c r="T25" s="20">
        <f t="shared" si="51"/>
        <v>0.733975087</v>
      </c>
      <c r="U25" s="21">
        <f t="shared" si="49"/>
        <v>0.0299216263</v>
      </c>
      <c r="V25" s="21">
        <f t="shared" si="50"/>
        <v>0.1149151671</v>
      </c>
      <c r="W25" s="22">
        <f t="shared" si="8"/>
        <v>0.01320549564</v>
      </c>
      <c r="X25" s="23">
        <f t="shared" si="9"/>
        <v>0.003438448687</v>
      </c>
      <c r="Y25" s="26"/>
      <c r="Z25" s="26"/>
      <c r="AE25" s="25">
        <v>4.18</v>
      </c>
      <c r="AF25" s="25">
        <v>0.08</v>
      </c>
      <c r="AG25" s="25">
        <v>3.48</v>
      </c>
      <c r="AH25" s="25">
        <v>0.21</v>
      </c>
    </row>
    <row r="26" ht="15.75" customHeight="1">
      <c r="J26" s="31"/>
      <c r="K26" s="16" t="s">
        <v>10</v>
      </c>
      <c r="L26" s="17">
        <f>G18</f>
        <v>7.813333333</v>
      </c>
      <c r="M26" s="17">
        <f t="shared" si="2"/>
        <v>0.02293270743</v>
      </c>
      <c r="N26" s="17">
        <f t="shared" si="3"/>
        <v>0.997074236</v>
      </c>
      <c r="O26" s="18">
        <f t="shared" si="42"/>
        <v>0.2093453694</v>
      </c>
      <c r="P26" s="17">
        <v>0.9970742360069018</v>
      </c>
      <c r="R26" s="6"/>
      <c r="S26" s="20">
        <f t="shared" ref="S26:T26" si="52">O26</f>
        <v>0.2093453694</v>
      </c>
      <c r="T26" s="20">
        <f t="shared" si="52"/>
        <v>0.997074236</v>
      </c>
      <c r="U26" s="21">
        <f t="shared" si="49"/>
        <v>0.07934536939</v>
      </c>
      <c r="V26" s="21">
        <f t="shared" si="50"/>
        <v>0.3780143162</v>
      </c>
      <c r="W26" s="22">
        <f t="shared" si="8"/>
        <v>0.1428948232</v>
      </c>
      <c r="X26" s="23">
        <f t="shared" si="9"/>
        <v>0.02999368555</v>
      </c>
      <c r="Y26" s="6"/>
      <c r="Z26" s="6"/>
      <c r="AE26" s="25">
        <v>4.56</v>
      </c>
      <c r="AF26" s="25">
        <v>0.07</v>
      </c>
      <c r="AG26" s="25">
        <v>2.93</v>
      </c>
      <c r="AH26" s="25">
        <v>0.21</v>
      </c>
    </row>
    <row r="27" ht="15.75" customHeight="1">
      <c r="S27" s="36">
        <f>K32-0.02*L32</f>
        <v>0.08516934814</v>
      </c>
    </row>
    <row r="28" ht="15.75" customHeight="1">
      <c r="A28" s="5" t="s">
        <v>35</v>
      </c>
    </row>
    <row r="29" ht="15.75" customHeight="1">
      <c r="A29" s="5" t="s">
        <v>36</v>
      </c>
      <c r="B29" s="5">
        <v>0.046</v>
      </c>
    </row>
    <row r="30" ht="15.75" customHeight="1">
      <c r="S30" s="5" t="s">
        <v>37</v>
      </c>
      <c r="U30" s="37" t="s">
        <v>38</v>
      </c>
      <c r="V30" s="5" t="s">
        <v>39</v>
      </c>
      <c r="W30" s="5" t="s">
        <v>40</v>
      </c>
      <c r="Z30" s="5" t="s">
        <v>41</v>
      </c>
      <c r="AA30" s="5">
        <v>0.95</v>
      </c>
    </row>
    <row r="31" ht="15.75" customHeight="1">
      <c r="F31" s="34">
        <v>0.0</v>
      </c>
      <c r="G31" s="34">
        <v>13.0</v>
      </c>
      <c r="J31" s="38"/>
      <c r="K31" s="39" t="s">
        <v>42</v>
      </c>
      <c r="L31" s="39" t="s">
        <v>43</v>
      </c>
      <c r="M31" s="39" t="s">
        <v>44</v>
      </c>
      <c r="N31" s="40" t="s">
        <v>45</v>
      </c>
      <c r="O31" s="38"/>
      <c r="R31" s="5" t="s">
        <v>46</v>
      </c>
      <c r="S31" s="41">
        <f>L3</f>
        <v>7.016666667</v>
      </c>
      <c r="T31" s="14">
        <f t="shared" ref="T31:T33" si="53">B3</f>
        <v>6.83</v>
      </c>
      <c r="U31" s="36">
        <f t="shared" ref="U31:U33" si="54">T31 - $S$31</f>
        <v>-0.1866666667</v>
      </c>
      <c r="V31" s="36">
        <f t="shared" ref="V31:V33" si="55">U31 ^ 2</f>
        <v>0.03484444444</v>
      </c>
      <c r="W31" s="36">
        <f>SUM(V31:V33)</f>
        <v>0.05306666667</v>
      </c>
      <c r="X31" s="42"/>
      <c r="Y31" s="5" t="s">
        <v>47</v>
      </c>
      <c r="Z31" s="5" t="s">
        <v>48</v>
      </c>
      <c r="AA31" s="5">
        <v>4.3</v>
      </c>
    </row>
    <row r="32" ht="15.75" customHeight="1">
      <c r="F32" s="43">
        <f>F31*M32+N32</f>
        <v>-0.02563744626</v>
      </c>
      <c r="G32" s="43">
        <f>G31*M32+N32</f>
        <v>0.8243560402</v>
      </c>
      <c r="J32" s="44" t="s">
        <v>29</v>
      </c>
      <c r="K32" s="45">
        <f>ROUND(AVERAGE(O3,O9,O15,O21), 3)</f>
        <v>0.134</v>
      </c>
      <c r="L32" s="45">
        <f>AVERAGE(P3,P9,P15,P21)</f>
        <v>2.441532593</v>
      </c>
      <c r="M32" s="46">
        <f>Y3 / Z3</f>
        <v>0.06538411435</v>
      </c>
      <c r="N32" s="46">
        <f>K32-(L32*M32)</f>
        <v>-0.02563744626</v>
      </c>
      <c r="O32" s="44"/>
      <c r="R32" s="5" t="s">
        <v>49</v>
      </c>
      <c r="T32" s="14">
        <f t="shared" si="53"/>
        <v>7.13</v>
      </c>
      <c r="U32" s="36">
        <f t="shared" si="54"/>
        <v>0.1133333333</v>
      </c>
      <c r="V32" s="36">
        <f t="shared" si="55"/>
        <v>0.01284444444</v>
      </c>
      <c r="X32" s="47"/>
      <c r="Y32" s="47">
        <f>SQRT(1/(3*2) * W31)</f>
        <v>0.09404490653</v>
      </c>
    </row>
    <row r="33" ht="15.75" customHeight="1">
      <c r="J33" s="26"/>
      <c r="K33" s="26"/>
      <c r="L33" s="26"/>
      <c r="M33" s="26"/>
      <c r="N33" s="26"/>
      <c r="O33" s="26"/>
      <c r="T33" s="14">
        <f t="shared" si="53"/>
        <v>7.09</v>
      </c>
      <c r="U33" s="36">
        <f t="shared" si="54"/>
        <v>0.07333333333</v>
      </c>
      <c r="V33" s="36">
        <f t="shared" si="55"/>
        <v>0.005377777778</v>
      </c>
      <c r="X33" s="47"/>
      <c r="Y33" s="47"/>
    </row>
    <row r="34" ht="15.75" customHeight="1">
      <c r="J34" s="26"/>
      <c r="K34" s="26"/>
      <c r="L34" s="26"/>
      <c r="M34" s="26"/>
      <c r="N34" s="26"/>
      <c r="O34" s="26"/>
      <c r="X34" s="47"/>
      <c r="Y34" s="37" t="s">
        <v>50</v>
      </c>
      <c r="Z34" s="36">
        <f>Y32 * AA31</f>
        <v>0.4043930981</v>
      </c>
    </row>
    <row r="35" ht="15.75" customHeight="1">
      <c r="F35" s="34">
        <v>0.0</v>
      </c>
      <c r="G35" s="34">
        <v>9.0</v>
      </c>
      <c r="J35" s="6"/>
      <c r="K35" s="6"/>
      <c r="L35" s="6"/>
      <c r="M35" s="6"/>
      <c r="N35" s="6"/>
      <c r="O35" s="6"/>
      <c r="T35" s="48"/>
      <c r="U35" s="47"/>
      <c r="X35" s="47"/>
      <c r="Y35" s="37" t="s">
        <v>51</v>
      </c>
      <c r="Z35" s="36">
        <f>SQRT(Z34^2 + (2/3 * 0.01)^2)</f>
        <v>0.4044480464</v>
      </c>
    </row>
    <row r="36" ht="15.75" customHeight="1">
      <c r="F36" s="43">
        <f>F35*M36+N36</f>
        <v>-0.02375989712</v>
      </c>
      <c r="G36" s="43">
        <f>G35*M36+N36</f>
        <v>0.712925856</v>
      </c>
      <c r="J36" s="44" t="s">
        <v>6</v>
      </c>
      <c r="K36" s="45">
        <f>0.13</f>
        <v>0.13</v>
      </c>
      <c r="L36" s="45">
        <f>AVERAGE(P4,P10,P16,P22)</f>
        <v>1.878465911</v>
      </c>
      <c r="M36" s="46">
        <f>Y7 / Z7</f>
        <v>0.08185397257</v>
      </c>
      <c r="N36" s="46">
        <f>K36-(L36*M36)</f>
        <v>-0.02375989712</v>
      </c>
      <c r="O36" s="44"/>
      <c r="S36" s="5" t="s">
        <v>52</v>
      </c>
      <c r="T36" s="5" t="s">
        <v>53</v>
      </c>
      <c r="X36" s="47"/>
      <c r="Y36" s="37" t="s">
        <v>54</v>
      </c>
      <c r="Z36" s="49">
        <f>Z35/S31 * 100</f>
        <v>5.764105174</v>
      </c>
    </row>
    <row r="37" ht="15.75" customHeight="1">
      <c r="J37" s="26"/>
      <c r="K37" s="26"/>
      <c r="L37" s="26"/>
      <c r="M37" s="26"/>
      <c r="N37" s="26"/>
      <c r="O37" s="26"/>
      <c r="R37" s="5" t="s">
        <v>55</v>
      </c>
      <c r="S37" s="41">
        <f>M3</f>
        <v>0.02843585852</v>
      </c>
      <c r="T37" s="41">
        <f>L3</f>
        <v>7.016666667</v>
      </c>
      <c r="X37" s="47"/>
      <c r="Y37" s="47"/>
    </row>
    <row r="38" ht="15.75" customHeight="1">
      <c r="J38" s="26"/>
      <c r="K38" s="26"/>
      <c r="L38" s="26"/>
      <c r="M38" s="26"/>
      <c r="N38" s="26"/>
      <c r="O38" s="26"/>
      <c r="X38" s="37" t="s">
        <v>56</v>
      </c>
    </row>
    <row r="39" ht="15.75" customHeight="1">
      <c r="F39" s="34">
        <v>0.0</v>
      </c>
      <c r="G39" s="34">
        <v>7.0</v>
      </c>
      <c r="J39" s="6"/>
      <c r="K39" s="6"/>
      <c r="L39" s="6"/>
      <c r="M39" s="6"/>
      <c r="N39" s="6"/>
      <c r="O39" s="6"/>
      <c r="T39" s="48"/>
      <c r="U39" s="47"/>
      <c r="X39" s="37" t="s">
        <v>51</v>
      </c>
      <c r="Y39" s="47">
        <f>SQRT((2/(T37^2)  * 0.001)^2 + (6*0.7/(T37^3) *Z35)^2)</f>
        <v>0.004917386172</v>
      </c>
    </row>
    <row r="40" ht="15.75" customHeight="1">
      <c r="F40" s="43">
        <f>F39*M40+N40</f>
        <v>0.003819556921</v>
      </c>
      <c r="G40" s="43">
        <f>G39*M40+N40</f>
        <v>0.6509137151</v>
      </c>
      <c r="J40" s="44" t="s">
        <v>7</v>
      </c>
      <c r="K40" s="45">
        <f>0.13</f>
        <v>0.13</v>
      </c>
      <c r="L40" s="45">
        <f>AVERAGE(P5,P11,P17,P23)</f>
        <v>1.364968437</v>
      </c>
      <c r="M40" s="46">
        <f>Y11 / Z11</f>
        <v>0.09244202259</v>
      </c>
      <c r="N40" s="46">
        <f>K40-(L40*M40)</f>
        <v>0.003819556921</v>
      </c>
      <c r="O40" s="44"/>
      <c r="X40" s="37" t="s">
        <v>57</v>
      </c>
      <c r="Y40" s="47">
        <f>Y39/0.03 * 100</f>
        <v>16.39128724</v>
      </c>
    </row>
    <row r="41" ht="15.75" customHeight="1">
      <c r="J41" s="26"/>
      <c r="K41" s="26"/>
      <c r="L41" s="26"/>
      <c r="M41" s="26"/>
      <c r="N41" s="26"/>
      <c r="O41" s="26"/>
      <c r="X41" s="47"/>
      <c r="Y41" s="47"/>
    </row>
    <row r="42" ht="15.75" customHeight="1">
      <c r="J42" s="26"/>
      <c r="K42" s="26"/>
      <c r="L42" s="26"/>
      <c r="M42" s="26"/>
      <c r="N42" s="26"/>
      <c r="O42" s="26"/>
      <c r="X42" s="47"/>
      <c r="Y42" s="47"/>
    </row>
    <row r="43" ht="15.75" customHeight="1">
      <c r="J43" s="6"/>
      <c r="K43" s="6"/>
      <c r="L43" s="6"/>
      <c r="M43" s="6"/>
      <c r="N43" s="6"/>
      <c r="O43" s="6"/>
      <c r="T43" s="48"/>
      <c r="U43" s="47"/>
      <c r="X43" s="47"/>
      <c r="Y43" s="47"/>
    </row>
    <row r="44" ht="15.75" customHeight="1">
      <c r="F44" s="34">
        <v>0.0</v>
      </c>
      <c r="G44" s="34">
        <v>5.0</v>
      </c>
      <c r="J44" s="44" t="s">
        <v>8</v>
      </c>
      <c r="K44" s="45">
        <f>0.13</f>
        <v>0.13</v>
      </c>
      <c r="L44" s="45">
        <f>AVERAGE(P6,P12,P18,P24)</f>
        <v>1.017098212</v>
      </c>
      <c r="M44" s="46">
        <f>Y15 / Z15</f>
        <v>0.1317646028</v>
      </c>
      <c r="N44" s="46">
        <f>K44-(L44*M44)</f>
        <v>-0.004017541946</v>
      </c>
      <c r="O44" s="44"/>
      <c r="R44" s="5" t="s">
        <v>17</v>
      </c>
      <c r="S44" s="5" t="s">
        <v>58</v>
      </c>
      <c r="X44" s="47"/>
      <c r="Y44" s="47"/>
    </row>
    <row r="45" ht="15.75" customHeight="1">
      <c r="F45" s="43">
        <f>F44*M44+N44</f>
        <v>-0.004017541946</v>
      </c>
      <c r="G45" s="43">
        <f>G44*M44+N44</f>
        <v>0.654805472</v>
      </c>
      <c r="J45" s="26"/>
      <c r="K45" s="26"/>
      <c r="L45" s="26"/>
      <c r="M45" s="26"/>
      <c r="N45" s="26"/>
      <c r="O45" s="26"/>
      <c r="S45" s="5">
        <v>0.13</v>
      </c>
      <c r="X45" s="37" t="s">
        <v>51</v>
      </c>
      <c r="Y45" s="47">
        <f>SQRT((0.267*0.046/2 * Y39)^2 + (0.046/2*(9.81 - 0.03)*0.0005)^2 + (0.267/2*(9.81 - 0.03)*0.001)^2)</f>
        <v>0.001310813143</v>
      </c>
    </row>
    <row r="46" ht="15.75" customHeight="1">
      <c r="J46" s="26"/>
      <c r="K46" s="26"/>
      <c r="L46" s="26"/>
      <c r="M46" s="26"/>
      <c r="N46" s="26"/>
      <c r="O46" s="26"/>
      <c r="X46" s="37" t="s">
        <v>59</v>
      </c>
      <c r="Y46" s="47">
        <f>0.001/S45 * 100</f>
        <v>0.7692307692</v>
      </c>
    </row>
    <row r="47" ht="15.75" customHeight="1">
      <c r="J47" s="6"/>
      <c r="K47" s="6"/>
      <c r="L47" s="6"/>
      <c r="M47" s="6"/>
      <c r="N47" s="6"/>
      <c r="O47" s="6"/>
      <c r="T47" s="48"/>
      <c r="U47" s="47"/>
      <c r="X47" s="47"/>
      <c r="Y47" s="47"/>
    </row>
    <row r="48" ht="15.75" customHeight="1">
      <c r="F48" s="34">
        <v>0.0</v>
      </c>
      <c r="G48" s="34">
        <v>4.0</v>
      </c>
      <c r="J48" s="44" t="s">
        <v>9</v>
      </c>
      <c r="K48" s="45">
        <f>0.13</f>
        <v>0.13</v>
      </c>
      <c r="L48" s="45">
        <f>AVERAGE(P7,P13,P19,P25)</f>
        <v>0.8102236783</v>
      </c>
      <c r="M48" s="46">
        <f>Y19 / Z19</f>
        <v>0.1612298732</v>
      </c>
      <c r="N48" s="46">
        <f>K48-(L48*M48)</f>
        <v>-0.0006322609485</v>
      </c>
      <c r="O48" s="44"/>
      <c r="X48" s="47"/>
      <c r="Y48" s="47"/>
    </row>
    <row r="49" ht="15.75" customHeight="1">
      <c r="F49" s="43">
        <f>F48*M48+N48</f>
        <v>-0.0006322609485</v>
      </c>
      <c r="G49" s="43">
        <f>G48*M48+N48</f>
        <v>0.644287232</v>
      </c>
      <c r="J49" s="26"/>
      <c r="K49" s="26"/>
      <c r="L49" s="26"/>
      <c r="M49" s="26"/>
      <c r="N49" s="26"/>
      <c r="O49" s="26"/>
      <c r="X49" s="47"/>
      <c r="Y49" s="47"/>
    </row>
    <row r="50" ht="15.75" customHeight="1">
      <c r="J50" s="26"/>
      <c r="K50" s="26"/>
      <c r="L50" s="26"/>
      <c r="M50" s="26"/>
      <c r="N50" s="26"/>
      <c r="O50" s="26"/>
      <c r="R50" s="5" t="s">
        <v>60</v>
      </c>
      <c r="S50" s="5" t="s">
        <v>61</v>
      </c>
      <c r="T50" s="5" t="s">
        <v>41</v>
      </c>
      <c r="U50" s="5" t="s">
        <v>62</v>
      </c>
      <c r="X50" s="47"/>
      <c r="Y50" s="47"/>
    </row>
    <row r="51" ht="15.75" customHeight="1">
      <c r="J51" s="6"/>
      <c r="K51" s="6"/>
      <c r="L51" s="6"/>
      <c r="M51" s="6"/>
      <c r="N51" s="6"/>
      <c r="O51" s="6"/>
      <c r="S51" s="5">
        <v>1.236</v>
      </c>
      <c r="T51" s="50">
        <v>0.03</v>
      </c>
      <c r="U51" s="37">
        <v>0.046</v>
      </c>
      <c r="X51" s="37" t="s">
        <v>63</v>
      </c>
      <c r="Y51" s="47">
        <f>SQRT((2/U51*Y39)^2 + (4*T51/(U51^2)*0.001)^2)</f>
        <v>0.2211928908</v>
      </c>
    </row>
    <row r="52" ht="15.75" customHeight="1">
      <c r="J52" s="44" t="s">
        <v>10</v>
      </c>
      <c r="K52" s="45">
        <f>0.13</f>
        <v>0.13</v>
      </c>
      <c r="L52" s="45">
        <f>AVERAGE(P8,P14,P20,P26)</f>
        <v>0.6190599198</v>
      </c>
      <c r="M52" s="46">
        <f>Y23 / Z23</f>
        <v>0.2007570894</v>
      </c>
      <c r="N52" s="46">
        <f>K52-(L52*M52)</f>
        <v>0.00571933232</v>
      </c>
      <c r="O52" s="44"/>
      <c r="X52" s="37" t="s">
        <v>57</v>
      </c>
      <c r="Y52" s="47">
        <f>Y51 / S51 * 100</f>
        <v>17.89586495</v>
      </c>
    </row>
    <row r="53" ht="15.75" customHeight="1">
      <c r="F53" s="34">
        <v>0.0</v>
      </c>
      <c r="G53" s="34">
        <v>4.0</v>
      </c>
      <c r="J53" s="26"/>
      <c r="K53" s="26"/>
      <c r="L53" s="26"/>
      <c r="M53" s="26"/>
      <c r="N53" s="26"/>
      <c r="O53" s="26"/>
      <c r="X53" s="47"/>
      <c r="Y53" s="47"/>
    </row>
    <row r="54" ht="15.75" customHeight="1">
      <c r="F54" s="43">
        <f>F53*M52+N52</f>
        <v>0.00571933232</v>
      </c>
      <c r="G54" s="43">
        <f>G53*M52+N52</f>
        <v>0.80874769</v>
      </c>
      <c r="J54" s="26"/>
      <c r="K54" s="26"/>
      <c r="L54" s="26"/>
      <c r="M54" s="26"/>
      <c r="N54" s="26"/>
      <c r="O54" s="26"/>
      <c r="X54" s="47"/>
      <c r="Y54" s="47"/>
    </row>
    <row r="55" ht="15.75" customHeight="1">
      <c r="J55" s="6"/>
      <c r="K55" s="6"/>
      <c r="L55" s="6"/>
      <c r="M55" s="6"/>
      <c r="N55" s="6"/>
      <c r="O55" s="6"/>
      <c r="X55" s="47"/>
      <c r="Y55" s="47"/>
    </row>
    <row r="56" ht="15.75" customHeight="1"/>
    <row r="57" ht="15.75" customHeight="1"/>
    <row r="58" ht="15.75" customHeight="1">
      <c r="L58" s="43">
        <v>0.1317646027874496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>
      <c r="J64" s="33"/>
      <c r="K64" s="33"/>
      <c r="L64" s="33" t="s">
        <v>64</v>
      </c>
      <c r="M64" s="33" t="s">
        <v>65</v>
      </c>
      <c r="N64" s="51" t="s">
        <v>66</v>
      </c>
      <c r="O64" s="51" t="s">
        <v>67</v>
      </c>
      <c r="P64" s="51" t="s">
        <v>68</v>
      </c>
      <c r="Q64" s="33"/>
    </row>
    <row r="65" ht="15.75" customHeight="1">
      <c r="J65" s="33" t="s">
        <v>69</v>
      </c>
      <c r="K65" s="33">
        <v>0.077</v>
      </c>
      <c r="L65" s="52">
        <f t="shared" ref="L65:L70" si="56">ROUND(K65^2, 3)</f>
        <v>0.006</v>
      </c>
      <c r="M65" s="53">
        <v>0.06538411434643386</v>
      </c>
      <c r="N65" s="54">
        <f t="shared" ref="N65:N70" si="57">L65 - $L$71</f>
        <v>-0.01516666667</v>
      </c>
      <c r="O65" s="55">
        <f t="shared" ref="O65:O70" si="58">M65 - $M$71</f>
        <v>-0.05685449815</v>
      </c>
      <c r="P65" s="56">
        <f t="shared" ref="P65:P70" si="59">ROUND(N65 ^ 2, 5)</f>
        <v>0.00023</v>
      </c>
      <c r="Q65" s="56">
        <f t="shared" ref="Q65:Q70" si="60">N65 * O65</f>
        <v>0.0008622932219</v>
      </c>
      <c r="X65" s="57"/>
    </row>
    <row r="66" ht="15.75" customHeight="1">
      <c r="J66" s="33" t="s">
        <v>70</v>
      </c>
      <c r="K66" s="33">
        <v>0.102</v>
      </c>
      <c r="L66" s="52">
        <f t="shared" si="56"/>
        <v>0.01</v>
      </c>
      <c r="M66" s="58">
        <v>0.0818539725681553</v>
      </c>
      <c r="N66" s="54">
        <f t="shared" si="57"/>
        <v>-0.01116666667</v>
      </c>
      <c r="O66" s="55">
        <f t="shared" si="58"/>
        <v>-0.04038463992</v>
      </c>
      <c r="P66" s="56">
        <f t="shared" si="59"/>
        <v>0.00012</v>
      </c>
      <c r="Q66" s="56">
        <f t="shared" si="60"/>
        <v>0.0004509618125</v>
      </c>
      <c r="V66" s="59"/>
      <c r="X66" s="57"/>
    </row>
    <row r="67" ht="15.75" customHeight="1">
      <c r="J67" s="33" t="s">
        <v>71</v>
      </c>
      <c r="K67" s="33">
        <v>0.127</v>
      </c>
      <c r="L67" s="52">
        <f t="shared" si="56"/>
        <v>0.016</v>
      </c>
      <c r="M67" s="43">
        <v>0.09244202259338474</v>
      </c>
      <c r="N67" s="54">
        <f t="shared" si="57"/>
        <v>-0.005166666667</v>
      </c>
      <c r="O67" s="55">
        <f t="shared" si="58"/>
        <v>-0.0297965899</v>
      </c>
      <c r="P67" s="56">
        <f t="shared" si="59"/>
        <v>0.00003</v>
      </c>
      <c r="Q67" s="56">
        <f t="shared" si="60"/>
        <v>0.0001539490478</v>
      </c>
      <c r="X67" s="57"/>
      <c r="Z67" s="57"/>
    </row>
    <row r="68" ht="15.75" customHeight="1">
      <c r="J68" s="33" t="s">
        <v>72</v>
      </c>
      <c r="K68" s="33">
        <v>0.152</v>
      </c>
      <c r="L68" s="52">
        <f t="shared" si="56"/>
        <v>0.023</v>
      </c>
      <c r="M68" s="43">
        <v>0.1317646027874496</v>
      </c>
      <c r="N68" s="54">
        <f t="shared" si="57"/>
        <v>0.001833333333</v>
      </c>
      <c r="O68" s="55">
        <f t="shared" si="58"/>
        <v>0.009525990296</v>
      </c>
      <c r="P68" s="56">
        <f t="shared" si="59"/>
        <v>0</v>
      </c>
      <c r="Q68" s="56">
        <f t="shared" si="60"/>
        <v>0.00001746431554</v>
      </c>
      <c r="X68" s="57"/>
    </row>
    <row r="69" ht="15.75" customHeight="1">
      <c r="J69" s="33" t="s">
        <v>73</v>
      </c>
      <c r="K69" s="33">
        <v>0.177</v>
      </c>
      <c r="L69" s="52">
        <f t="shared" si="56"/>
        <v>0.031</v>
      </c>
      <c r="M69" s="43">
        <v>0.16122987323946517</v>
      </c>
      <c r="N69" s="54">
        <f t="shared" si="57"/>
        <v>0.009833333333</v>
      </c>
      <c r="O69" s="55">
        <f t="shared" si="58"/>
        <v>0.03899126075</v>
      </c>
      <c r="P69" s="56">
        <f t="shared" si="59"/>
        <v>0.0001</v>
      </c>
      <c r="Q69" s="56">
        <f t="shared" si="60"/>
        <v>0.000383414064</v>
      </c>
      <c r="X69" s="57"/>
    </row>
    <row r="70" ht="15.75" customHeight="1">
      <c r="J70" s="33" t="s">
        <v>74</v>
      </c>
      <c r="K70" s="33">
        <v>0.202</v>
      </c>
      <c r="L70" s="52">
        <f t="shared" si="56"/>
        <v>0.041</v>
      </c>
      <c r="M70" s="43">
        <v>0.2007570894154249</v>
      </c>
      <c r="N70" s="54">
        <f t="shared" si="57"/>
        <v>0.01983333333</v>
      </c>
      <c r="O70" s="55">
        <f t="shared" si="58"/>
        <v>0.07851847692</v>
      </c>
      <c r="P70" s="56">
        <f t="shared" si="59"/>
        <v>0.00039</v>
      </c>
      <c r="Q70" s="56">
        <f t="shared" si="60"/>
        <v>0.001557283126</v>
      </c>
      <c r="X70" s="57"/>
    </row>
    <row r="71" ht="15.75" customHeight="1">
      <c r="L71" s="36">
        <f t="shared" ref="L71:M71" si="61">AVERAGE(L65:L70)</f>
        <v>0.02116666667</v>
      </c>
      <c r="M71" s="43">
        <f t="shared" si="61"/>
        <v>0.1222386125</v>
      </c>
      <c r="N71" s="34">
        <f>0.001</f>
        <v>0.001</v>
      </c>
    </row>
    <row r="72" ht="15.75" customHeight="1"/>
    <row r="73" ht="15.75" customHeight="1">
      <c r="N73" s="5" t="s">
        <v>75</v>
      </c>
      <c r="O73" s="34">
        <f>SUM(Q65:Q70) /  (SUM(P65:P70)) / 4</f>
        <v>0.9843004561</v>
      </c>
    </row>
    <row r="74" ht="15.75" customHeight="1">
      <c r="N74" s="5" t="s">
        <v>76</v>
      </c>
      <c r="O74" s="43">
        <f>M71 - 4 * O73 * L71</f>
        <v>0.03890117387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>
      <c r="I82" s="34" t="str">
        <f>IFERROR(__xludf.DUMMYFUNCTION("SPARKLINE('Лист1'!N32:N35, {""charttype"",""line"";""color"",""#376092"";""empty"",""ignore"";""nan"",""convert""})"),"#N/A")</f>
        <v>#N/A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>
      <c r="E110" s="13" t="s">
        <v>0</v>
      </c>
      <c r="F110" s="13" t="s">
        <v>25</v>
      </c>
      <c r="G110" s="13" t="s">
        <v>26</v>
      </c>
      <c r="H110" s="13" t="s">
        <v>27</v>
      </c>
      <c r="I110" s="13" t="s">
        <v>15</v>
      </c>
    </row>
    <row r="111" ht="15.75" customHeight="1">
      <c r="E111" s="24">
        <v>0.27</v>
      </c>
      <c r="F111" s="25">
        <v>4.5</v>
      </c>
      <c r="G111" s="25">
        <v>0.07</v>
      </c>
      <c r="H111" s="25">
        <v>3.01</v>
      </c>
      <c r="I111" s="25">
        <v>0.06</v>
      </c>
    </row>
    <row r="112" ht="15.75" customHeight="1">
      <c r="F112" s="25">
        <v>5.11</v>
      </c>
      <c r="G112" s="25">
        <v>0.05</v>
      </c>
      <c r="H112" s="25">
        <v>2.33</v>
      </c>
      <c r="I112" s="25">
        <v>0.06</v>
      </c>
    </row>
    <row r="113" ht="15.75" customHeight="1">
      <c r="F113" s="25">
        <v>5.87</v>
      </c>
      <c r="G113" s="25">
        <v>0.04</v>
      </c>
      <c r="H113" s="25">
        <v>1.77</v>
      </c>
      <c r="I113" s="25">
        <v>0.06</v>
      </c>
    </row>
    <row r="114" ht="15.75" customHeight="1">
      <c r="F114" s="25">
        <v>6.83</v>
      </c>
      <c r="G114" s="25">
        <v>0.03</v>
      </c>
      <c r="H114" s="25">
        <v>1.31</v>
      </c>
      <c r="I114" s="25">
        <v>0.06</v>
      </c>
    </row>
    <row r="115" ht="15.75" customHeight="1">
      <c r="F115" s="25">
        <v>7.67</v>
      </c>
      <c r="G115" s="25">
        <v>0.02</v>
      </c>
      <c r="H115" s="25">
        <v>1.03</v>
      </c>
      <c r="I115" s="25">
        <v>0.06</v>
      </c>
    </row>
    <row r="116" ht="15.75" customHeight="1">
      <c r="F116" s="25">
        <v>8.8</v>
      </c>
      <c r="G116" s="25">
        <v>0.02</v>
      </c>
      <c r="H116" s="25">
        <v>0.79</v>
      </c>
      <c r="I116" s="25">
        <v>0.06</v>
      </c>
    </row>
    <row r="117" ht="15.75" customHeight="1">
      <c r="E117" s="24">
        <v>0.49</v>
      </c>
      <c r="F117" s="25">
        <v>3.36</v>
      </c>
      <c r="G117" s="25">
        <v>0.12</v>
      </c>
      <c r="H117" s="25">
        <v>5.39</v>
      </c>
      <c r="I117" s="25">
        <v>0.11</v>
      </c>
    </row>
    <row r="118" ht="15.75" customHeight="1">
      <c r="F118" s="25">
        <v>3.99</v>
      </c>
      <c r="G118" s="25">
        <v>0.09</v>
      </c>
      <c r="H118" s="25">
        <v>3.82</v>
      </c>
      <c r="I118" s="25">
        <v>0.11</v>
      </c>
    </row>
    <row r="119" ht="15.75" customHeight="1">
      <c r="F119" s="25">
        <v>4.53</v>
      </c>
      <c r="G119" s="25">
        <v>0.07</v>
      </c>
      <c r="H119" s="25">
        <v>2.97</v>
      </c>
      <c r="I119" s="25">
        <v>0.11</v>
      </c>
    </row>
    <row r="120" ht="15.75" customHeight="1">
      <c r="F120" s="25">
        <v>5.22</v>
      </c>
      <c r="G120" s="25">
        <v>0.05</v>
      </c>
      <c r="H120" s="25">
        <v>2.24</v>
      </c>
      <c r="I120" s="25">
        <v>0.11</v>
      </c>
    </row>
    <row r="121" ht="15.75" customHeight="1">
      <c r="F121" s="25">
        <v>5.82</v>
      </c>
      <c r="G121" s="25">
        <v>0.04</v>
      </c>
      <c r="H121" s="25">
        <v>1.79</v>
      </c>
      <c r="I121" s="25">
        <v>0.11</v>
      </c>
    </row>
    <row r="122" ht="15.75" customHeight="1">
      <c r="F122" s="25">
        <v>6.57</v>
      </c>
      <c r="G122" s="25">
        <v>0.03</v>
      </c>
      <c r="H122" s="25">
        <v>1.41</v>
      </c>
      <c r="I122" s="25">
        <v>0.11</v>
      </c>
    </row>
    <row r="123" ht="15.75" customHeight="1">
      <c r="E123" s="24">
        <v>0.71</v>
      </c>
      <c r="F123" s="25">
        <v>2.63</v>
      </c>
      <c r="G123" s="25">
        <v>0.2</v>
      </c>
      <c r="H123" s="25">
        <v>8.78</v>
      </c>
      <c r="I123" s="25">
        <v>0.16</v>
      </c>
    </row>
    <row r="124" ht="15.75" customHeight="1">
      <c r="F124" s="25">
        <v>3.25</v>
      </c>
      <c r="G124" s="25">
        <v>0.13</v>
      </c>
      <c r="H124" s="25">
        <v>5.76</v>
      </c>
      <c r="I124" s="25">
        <v>0.16</v>
      </c>
    </row>
    <row r="125" ht="15.75" customHeight="1">
      <c r="F125" s="25">
        <v>3.8</v>
      </c>
      <c r="G125" s="25">
        <v>0.1</v>
      </c>
      <c r="H125" s="25">
        <v>4.22</v>
      </c>
      <c r="I125" s="25">
        <v>0.16</v>
      </c>
    </row>
    <row r="126" ht="15.75" customHeight="1">
      <c r="F126" s="25">
        <v>4.17</v>
      </c>
      <c r="G126" s="25">
        <v>0.08</v>
      </c>
      <c r="H126" s="25">
        <v>3.51</v>
      </c>
      <c r="I126" s="25">
        <v>0.16</v>
      </c>
    </row>
    <row r="127" ht="15.75" customHeight="1">
      <c r="F127" s="25">
        <v>4.87</v>
      </c>
      <c r="G127" s="25">
        <v>0.06</v>
      </c>
      <c r="H127" s="25">
        <v>2.57</v>
      </c>
      <c r="I127" s="25">
        <v>0.16</v>
      </c>
    </row>
    <row r="128" ht="15.75" customHeight="1">
      <c r="F128" s="25">
        <v>5.35</v>
      </c>
      <c r="G128" s="25">
        <v>0.05</v>
      </c>
      <c r="H128" s="25">
        <v>2.13</v>
      </c>
      <c r="I128" s="25">
        <v>0.16</v>
      </c>
    </row>
    <row r="129" ht="15.75" customHeight="1">
      <c r="E129" s="24">
        <v>0.93</v>
      </c>
      <c r="F129" s="25">
        <v>2.22</v>
      </c>
      <c r="G129" s="25">
        <v>0.28</v>
      </c>
      <c r="H129" s="25">
        <v>12.39</v>
      </c>
      <c r="I129" s="25">
        <v>0.2</v>
      </c>
    </row>
    <row r="130" ht="15.75" customHeight="1">
      <c r="F130" s="25">
        <v>2.88</v>
      </c>
      <c r="G130" s="25">
        <v>0.17</v>
      </c>
      <c r="H130" s="25">
        <v>7.34</v>
      </c>
      <c r="I130" s="25">
        <v>0.21</v>
      </c>
    </row>
    <row r="131" ht="15.75" customHeight="1">
      <c r="F131" s="25">
        <v>3.34</v>
      </c>
      <c r="G131" s="25">
        <v>0.13</v>
      </c>
      <c r="H131" s="25">
        <v>5.47</v>
      </c>
      <c r="I131" s="25">
        <v>0.21</v>
      </c>
    </row>
    <row r="132" ht="15.75" customHeight="1">
      <c r="F132" s="25">
        <v>3.66</v>
      </c>
      <c r="G132" s="25">
        <v>0.1</v>
      </c>
      <c r="H132" s="25">
        <v>4.55</v>
      </c>
      <c r="I132" s="25">
        <v>0.21</v>
      </c>
    </row>
    <row r="133" ht="15.75" customHeight="1">
      <c r="F133" s="25">
        <v>4.18</v>
      </c>
      <c r="G133" s="25">
        <v>0.08</v>
      </c>
      <c r="H133" s="25">
        <v>3.48</v>
      </c>
      <c r="I133" s="25">
        <v>0.21</v>
      </c>
    </row>
    <row r="134" ht="15.75" customHeight="1">
      <c r="F134" s="25">
        <v>4.56</v>
      </c>
      <c r="G134" s="25">
        <v>0.07</v>
      </c>
      <c r="H134" s="25">
        <v>2.93</v>
      </c>
      <c r="I134" s="25">
        <v>0.21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M36:M39"/>
    <mergeCell ref="N36:N39"/>
    <mergeCell ref="M40:M43"/>
    <mergeCell ref="N40:N43"/>
    <mergeCell ref="O40:O43"/>
    <mergeCell ref="M44:M47"/>
    <mergeCell ref="N44:N47"/>
    <mergeCell ref="O44:O47"/>
    <mergeCell ref="J52:J55"/>
    <mergeCell ref="K52:K55"/>
    <mergeCell ref="L52:L55"/>
    <mergeCell ref="M52:M55"/>
    <mergeCell ref="N52:N55"/>
    <mergeCell ref="O52:O55"/>
    <mergeCell ref="E111:E116"/>
    <mergeCell ref="E117:E122"/>
    <mergeCell ref="E123:E128"/>
    <mergeCell ref="E129:E134"/>
    <mergeCell ref="K36:K39"/>
    <mergeCell ref="L36:L39"/>
    <mergeCell ref="J40:J43"/>
    <mergeCell ref="K40:K43"/>
    <mergeCell ref="L40:L43"/>
    <mergeCell ref="K44:K47"/>
    <mergeCell ref="L44:L47"/>
    <mergeCell ref="A1:A2"/>
    <mergeCell ref="B1:G1"/>
    <mergeCell ref="J3:J8"/>
    <mergeCell ref="R3:R6"/>
    <mergeCell ref="Z3:Z6"/>
    <mergeCell ref="AD3:AD8"/>
    <mergeCell ref="R7:R10"/>
    <mergeCell ref="Z7:Z10"/>
    <mergeCell ref="Y15:Y18"/>
    <mergeCell ref="Z15:Z18"/>
    <mergeCell ref="Y19:Y22"/>
    <mergeCell ref="Z19:Z22"/>
    <mergeCell ref="AD21:AD26"/>
    <mergeCell ref="Y23:Y26"/>
    <mergeCell ref="Z23:Z26"/>
    <mergeCell ref="R15:R18"/>
    <mergeCell ref="R19:R22"/>
    <mergeCell ref="R23:R26"/>
    <mergeCell ref="Y3:Y6"/>
    <mergeCell ref="Y7:Y10"/>
    <mergeCell ref="AD9:AD14"/>
    <mergeCell ref="R11:R14"/>
    <mergeCell ref="Y11:Y14"/>
    <mergeCell ref="Z11:Z14"/>
    <mergeCell ref="AD15:AD20"/>
    <mergeCell ref="A3:A5"/>
    <mergeCell ref="A7:A9"/>
    <mergeCell ref="J9:J14"/>
    <mergeCell ref="A11:A13"/>
    <mergeCell ref="A15:A17"/>
    <mergeCell ref="J15:J20"/>
    <mergeCell ref="J21:J26"/>
    <mergeCell ref="J32:J35"/>
    <mergeCell ref="K32:K35"/>
    <mergeCell ref="L32:L35"/>
    <mergeCell ref="M32:M35"/>
    <mergeCell ref="N32:N35"/>
    <mergeCell ref="O32:O35"/>
    <mergeCell ref="J36:J39"/>
    <mergeCell ref="O36:O39"/>
    <mergeCell ref="J44:J47"/>
    <mergeCell ref="J48:J51"/>
    <mergeCell ref="K48:K51"/>
    <mergeCell ref="L48:L51"/>
    <mergeCell ref="M48:M51"/>
    <mergeCell ref="N48:N51"/>
    <mergeCell ref="O48:O51"/>
  </mergeCells>
  <printOptions/>
  <pageMargins bottom="0.75" footer="0.0" header="0.0" left="0.7" right="0.7" top="0.75"/>
  <pageSetup paperSize="9" orientation="portrait"/>
  <drawing r:id="rId1"/>
</worksheet>
</file>