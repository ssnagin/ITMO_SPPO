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a_fiz\laba1.03\"/>
    </mc:Choice>
  </mc:AlternateContent>
  <xr:revisionPtr revIDLastSave="0" documentId="13_ncr:1_{1164B407-6295-442F-8BF2-5C2B1A4C7F6D}" xr6:coauthVersionLast="47" xr6:coauthVersionMax="47" xr10:uidLastSave="{00000000-0000-0000-0000-000000000000}"/>
  <bookViews>
    <workbookView xWindow="-720" yWindow="330" windowWidth="14400" windowHeight="14340" xr2:uid="{39C97787-9368-4E6B-BA08-7FC9D24B7F6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1" l="1"/>
  <c r="O2" i="1"/>
  <c r="Z38" i="1"/>
  <c r="W42" i="1"/>
  <c r="AD38" i="1"/>
  <c r="AC38" i="1"/>
  <c r="J42" i="1"/>
  <c r="Q46" i="1"/>
  <c r="J38" i="1"/>
  <c r="M38" i="1" s="1"/>
  <c r="L20" i="1"/>
  <c r="I3" i="1"/>
  <c r="I4" i="1"/>
  <c r="I5" i="1"/>
  <c r="I6" i="1"/>
  <c r="I2" i="1"/>
  <c r="M3" i="1"/>
  <c r="R57" i="1"/>
  <c r="R46" i="1"/>
  <c r="Q57" i="1" l="1"/>
  <c r="P57" i="1"/>
  <c r="P46" i="1"/>
  <c r="M50" i="1"/>
  <c r="M51" i="1"/>
  <c r="M54" i="1"/>
  <c r="M55" i="1"/>
  <c r="O55" i="1" s="1"/>
  <c r="O54" i="1"/>
  <c r="O51" i="1"/>
  <c r="O39" i="1"/>
  <c r="O40" i="1"/>
  <c r="O38" i="1"/>
  <c r="N40" i="1"/>
  <c r="P40" i="1" s="1"/>
  <c r="M40" i="1"/>
  <c r="M41" i="1"/>
  <c r="O41" i="1" s="1"/>
  <c r="M42" i="1"/>
  <c r="O42" i="1" s="1"/>
  <c r="K51" i="1"/>
  <c r="S51" i="1" s="1"/>
  <c r="T51" i="1" s="1"/>
  <c r="K55" i="1"/>
  <c r="S55" i="1" s="1"/>
  <c r="T55" i="1" s="1"/>
  <c r="K40" i="1"/>
  <c r="K41" i="1"/>
  <c r="N41" i="1" s="1"/>
  <c r="K42" i="1"/>
  <c r="K38" i="1"/>
  <c r="N38" i="1" s="1"/>
  <c r="P38" i="1" s="1"/>
  <c r="J55" i="1"/>
  <c r="J54" i="1"/>
  <c r="K54" i="1" s="1"/>
  <c r="J53" i="1"/>
  <c r="K53" i="1" s="1"/>
  <c r="J52" i="1"/>
  <c r="M52" i="1" s="1"/>
  <c r="J51" i="1"/>
  <c r="J50" i="1"/>
  <c r="K50" i="1" s="1"/>
  <c r="J49" i="1"/>
  <c r="M49" i="1" s="1"/>
  <c r="J39" i="1"/>
  <c r="M39" i="1" s="1"/>
  <c r="J40" i="1"/>
  <c r="J41" i="1"/>
  <c r="J43" i="1"/>
  <c r="M43" i="1" s="1"/>
  <c r="J44" i="1"/>
  <c r="M44" i="1" s="1"/>
  <c r="L33" i="1"/>
  <c r="J33" i="1"/>
  <c r="I33" i="1"/>
  <c r="L32" i="1"/>
  <c r="J32" i="1"/>
  <c r="I32" i="1"/>
  <c r="L31" i="1"/>
  <c r="J31" i="1"/>
  <c r="K31" i="1" s="1"/>
  <c r="I31" i="1"/>
  <c r="L30" i="1"/>
  <c r="J30" i="1"/>
  <c r="I30" i="1"/>
  <c r="M29" i="1"/>
  <c r="L29" i="1"/>
  <c r="J29" i="1"/>
  <c r="K29" i="1" s="1"/>
  <c r="I29" i="1"/>
  <c r="M20" i="1"/>
  <c r="L21" i="1"/>
  <c r="L22" i="1"/>
  <c r="L23" i="1"/>
  <c r="L24" i="1"/>
  <c r="J21" i="1"/>
  <c r="J22" i="1"/>
  <c r="J23" i="1"/>
  <c r="J24" i="1"/>
  <c r="J20" i="1"/>
  <c r="I21" i="1"/>
  <c r="I22" i="1"/>
  <c r="I23" i="1"/>
  <c r="I24" i="1"/>
  <c r="I20" i="1"/>
  <c r="K20" i="1" s="1"/>
  <c r="M15" i="1"/>
  <c r="K15" i="1"/>
  <c r="J15" i="1"/>
  <c r="I15" i="1"/>
  <c r="M14" i="1"/>
  <c r="K14" i="1"/>
  <c r="J14" i="1"/>
  <c r="I14" i="1"/>
  <c r="M13" i="1"/>
  <c r="K13" i="1"/>
  <c r="J13" i="1"/>
  <c r="I13" i="1"/>
  <c r="M12" i="1"/>
  <c r="K12" i="1"/>
  <c r="J12" i="1"/>
  <c r="I12" i="1"/>
  <c r="M11" i="1"/>
  <c r="K11" i="1"/>
  <c r="J11" i="1"/>
  <c r="I11" i="1"/>
  <c r="M4" i="1"/>
  <c r="M5" i="1"/>
  <c r="M6" i="1"/>
  <c r="M2" i="1"/>
  <c r="L2" i="1"/>
  <c r="K3" i="1"/>
  <c r="K4" i="1"/>
  <c r="K5" i="1"/>
  <c r="K6" i="1"/>
  <c r="K2" i="1"/>
  <c r="J3" i="1"/>
  <c r="L3" i="1" s="1"/>
  <c r="J4" i="1"/>
  <c r="J5" i="1"/>
  <c r="J6" i="1"/>
  <c r="J2" i="1"/>
  <c r="N54" i="1" l="1"/>
  <c r="S54" i="1"/>
  <c r="T54" i="1" s="1"/>
  <c r="O44" i="1"/>
  <c r="P54" i="1"/>
  <c r="N50" i="1"/>
  <c r="P50" i="1" s="1"/>
  <c r="S50" i="1"/>
  <c r="T50" i="1" s="1"/>
  <c r="O49" i="1"/>
  <c r="S53" i="1"/>
  <c r="T53" i="1" s="1"/>
  <c r="N53" i="1"/>
  <c r="K49" i="1"/>
  <c r="K52" i="1"/>
  <c r="P41" i="1"/>
  <c r="N55" i="1"/>
  <c r="P55" i="1" s="1"/>
  <c r="N51" i="1"/>
  <c r="P51" i="1" s="1"/>
  <c r="O43" i="1"/>
  <c r="R38" i="1" s="1"/>
  <c r="J46" i="1"/>
  <c r="J57" i="1"/>
  <c r="M53" i="1"/>
  <c r="O53" i="1" s="1"/>
  <c r="L4" i="1"/>
  <c r="L11" i="1"/>
  <c r="K33" i="1"/>
  <c r="K44" i="1"/>
  <c r="N44" i="1" s="1"/>
  <c r="P44" i="1" s="1"/>
  <c r="K43" i="1"/>
  <c r="N43" i="1" s="1"/>
  <c r="P43" i="1" s="1"/>
  <c r="K39" i="1"/>
  <c r="N39" i="1" s="1"/>
  <c r="P39" i="1" s="1"/>
  <c r="N42" i="1"/>
  <c r="P42" i="1" s="1"/>
  <c r="L5" i="1"/>
  <c r="R2" i="1" s="1"/>
  <c r="K22" i="1"/>
  <c r="K21" i="1"/>
  <c r="K24" i="1"/>
  <c r="K23" i="1"/>
  <c r="K32" i="1"/>
  <c r="K30" i="1"/>
  <c r="P29" i="1"/>
  <c r="T29" i="1" s="1"/>
  <c r="O20" i="1"/>
  <c r="R20" i="1" s="1"/>
  <c r="T20" i="1"/>
  <c r="L13" i="1"/>
  <c r="L15" i="1"/>
  <c r="P11" i="1"/>
  <c r="T11" i="1" s="1"/>
  <c r="L12" i="1"/>
  <c r="L14" i="1"/>
  <c r="L6" i="1"/>
  <c r="P2" i="1"/>
  <c r="T2" i="1" s="1"/>
  <c r="O52" i="1"/>
  <c r="O50" i="1"/>
  <c r="R23" i="1" l="1"/>
  <c r="N52" i="1"/>
  <c r="P52" i="1" s="1"/>
  <c r="S52" i="1"/>
  <c r="T52" i="1" s="1"/>
  <c r="R49" i="1"/>
  <c r="Q38" i="1"/>
  <c r="M46" i="1" s="1"/>
  <c r="N49" i="1"/>
  <c r="P49" i="1" s="1"/>
  <c r="S49" i="1"/>
  <c r="T49" i="1" s="1"/>
  <c r="O57" i="1" s="1"/>
  <c r="K57" i="1"/>
  <c r="K46" i="1"/>
  <c r="P53" i="1"/>
  <c r="R4" i="1"/>
  <c r="T32" i="1"/>
  <c r="T31" i="1"/>
  <c r="T33" i="1"/>
  <c r="T30" i="1"/>
  <c r="O29" i="1"/>
  <c r="R30" i="1" s="1"/>
  <c r="R21" i="1"/>
  <c r="S20" i="1" s="1"/>
  <c r="T23" i="1"/>
  <c r="T24" i="1"/>
  <c r="T22" i="1"/>
  <c r="R24" i="1"/>
  <c r="T21" i="1"/>
  <c r="R22" i="1"/>
  <c r="T15" i="1"/>
  <c r="T14" i="1"/>
  <c r="T12" i="1"/>
  <c r="O11" i="1"/>
  <c r="R11" i="1" s="1"/>
  <c r="T13" i="1"/>
  <c r="T4" i="1"/>
  <c r="R3" i="1"/>
  <c r="T3" i="1"/>
  <c r="T5" i="1"/>
  <c r="R6" i="1"/>
  <c r="S2" i="1" s="1"/>
  <c r="T6" i="1"/>
  <c r="R5" i="1"/>
  <c r="U29" i="1" l="1"/>
  <c r="Q49" i="1"/>
  <c r="U2" i="1"/>
  <c r="U11" i="1"/>
  <c r="U20" i="1"/>
  <c r="N46" i="1"/>
  <c r="R13" i="1"/>
  <c r="R29" i="1"/>
  <c r="R33" i="1"/>
  <c r="R31" i="1"/>
  <c r="R32" i="1"/>
  <c r="R14" i="1"/>
  <c r="R12" i="1"/>
  <c r="R15" i="1"/>
  <c r="S11" i="1" l="1"/>
  <c r="AA38" i="1"/>
  <c r="S39" i="1"/>
  <c r="T39" i="1" s="1"/>
  <c r="S42" i="1"/>
  <c r="T42" i="1" s="1"/>
  <c r="S43" i="1"/>
  <c r="T43" i="1" s="1"/>
  <c r="S38" i="1"/>
  <c r="T38" i="1" s="1"/>
  <c r="S40" i="1"/>
  <c r="T40" i="1" s="1"/>
  <c r="S41" i="1"/>
  <c r="T41" i="1" s="1"/>
  <c r="S44" i="1"/>
  <c r="T44" i="1" s="1"/>
  <c r="S29" i="1"/>
</calcChain>
</file>

<file path=xl/sharedStrings.xml><?xml version="1.0" encoding="utf-8"?>
<sst xmlns="http://schemas.openxmlformats.org/spreadsheetml/2006/main" count="134" uniqueCount="56">
  <si>
    <t>№ опыта</t>
  </si>
  <si>
    <t>m1, г</t>
  </si>
  <si>
    <t>m2, г</t>
  </si>
  <si>
    <t>v10x, м/с</t>
  </si>
  <si>
    <t>v1x, м/с</t>
  </si>
  <si>
    <t>v2x, м/с</t>
  </si>
  <si>
    <t>v10, м/с</t>
  </si>
  <si>
    <t>v, м/с</t>
  </si>
  <si>
    <t>Состав гирьки</t>
  </si>
  <si>
    <t>m, г</t>
  </si>
  <si>
    <t>v1, м/с</t>
  </si>
  <si>
    <t>v2, м/с</t>
  </si>
  <si>
    <t>подвеска</t>
  </si>
  <si>
    <t>подвеска + одна шайба</t>
  </si>
  <si>
    <t>подвеска + две шайбы</t>
  </si>
  <si>
    <t>подвеска + три шайбы</t>
  </si>
  <si>
    <t>подвеска + четыре шайбы</t>
  </si>
  <si>
    <t>подвеска + пять шайб</t>
  </si>
  <si>
    <t>подвеска + шесть шайб</t>
  </si>
  <si>
    <t>p10x</t>
  </si>
  <si>
    <t>p1x</t>
  </si>
  <si>
    <t>p2x</t>
  </si>
  <si>
    <t>бp</t>
  </si>
  <si>
    <t>бW</t>
  </si>
  <si>
    <t>p10</t>
  </si>
  <si>
    <t>p</t>
  </si>
  <si>
    <t>бWЭ</t>
  </si>
  <si>
    <t>бWT</t>
  </si>
  <si>
    <t>a, м/с^2</t>
  </si>
  <si>
    <t>T, мН</t>
  </si>
  <si>
    <t>ai - aср</t>
  </si>
  <si>
    <t>Ti - Tср</t>
  </si>
  <si>
    <t>(ai-aср)^2</t>
  </si>
  <si>
    <t>1*2</t>
  </si>
  <si>
    <t>M</t>
  </si>
  <si>
    <t>Fтр</t>
  </si>
  <si>
    <t>di</t>
  </si>
  <si>
    <t>di^2</t>
  </si>
  <si>
    <t>SUM di^2</t>
  </si>
  <si>
    <t>SUM 1*2</t>
  </si>
  <si>
    <t>SUM 3</t>
  </si>
  <si>
    <t>aср</t>
  </si>
  <si>
    <t>Tср</t>
  </si>
  <si>
    <t>dM1</t>
  </si>
  <si>
    <t>dM2</t>
  </si>
  <si>
    <t>Sm</t>
  </si>
  <si>
    <t>бр ср</t>
  </si>
  <si>
    <t>бW ср</t>
  </si>
  <si>
    <t>(бр - бр ср)^2</t>
  </si>
  <si>
    <t>d бр</t>
  </si>
  <si>
    <t>(бW - бW ср)^2</t>
  </si>
  <si>
    <t>d бW</t>
  </si>
  <si>
    <t>d бWЭ</t>
  </si>
  <si>
    <t>(бWЭ- бWЭ ср)^2</t>
  </si>
  <si>
    <t>eM1</t>
  </si>
  <si>
    <t>eM2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</si>
</sst>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chemeClr val="tx1"/>
                </a:solidFill>
              </a:rPr>
              <a:t>График</a:t>
            </a:r>
            <a:r>
              <a:rPr lang="ru-RU" baseline="0">
                <a:solidFill>
                  <a:schemeClr val="tx1"/>
                </a:solidFill>
              </a:rPr>
              <a:t> зависимости </a:t>
            </a:r>
            <a:r>
              <a:rPr lang="en-US" baseline="0">
                <a:solidFill>
                  <a:schemeClr val="tx1"/>
                </a:solidFill>
              </a:rPr>
              <a:t>T(a)</a:t>
            </a:r>
            <a:endParaRPr lang="ru-RU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Лист1!$J$65:$J$78</c:f>
              <c:numCache>
                <c:formatCode>General</c:formatCode>
                <c:ptCount val="14"/>
                <c:pt idx="0">
                  <c:v>0.22</c:v>
                </c:pt>
                <c:pt idx="1">
                  <c:v>0.34899999999999998</c:v>
                </c:pt>
                <c:pt idx="2">
                  <c:v>0.47699999999999998</c:v>
                </c:pt>
                <c:pt idx="3">
                  <c:v>0.58199999999999996</c:v>
                </c:pt>
                <c:pt idx="4">
                  <c:v>0.69399999999999995</c:v>
                </c:pt>
                <c:pt idx="5">
                  <c:v>0.79800000000000004</c:v>
                </c:pt>
                <c:pt idx="6">
                  <c:v>0.94799999999999995</c:v>
                </c:pt>
                <c:pt idx="7">
                  <c:v>0.107</c:v>
                </c:pt>
                <c:pt idx="8">
                  <c:v>0.17499999999999999</c:v>
                </c:pt>
                <c:pt idx="9">
                  <c:v>0.23400000000000001</c:v>
                </c:pt>
                <c:pt idx="10">
                  <c:v>0.30199999999999999</c:v>
                </c:pt>
                <c:pt idx="11">
                  <c:v>0.34399999999999997</c:v>
                </c:pt>
                <c:pt idx="12">
                  <c:v>0.437</c:v>
                </c:pt>
                <c:pt idx="13">
                  <c:v>0.47899999999999998</c:v>
                </c:pt>
              </c:numCache>
            </c:numRef>
          </c:xVal>
          <c:yVal>
            <c:numRef>
              <c:f>Лист1!$K$65:$K$78</c:f>
              <c:numCache>
                <c:formatCode>General</c:formatCode>
                <c:ptCount val="14"/>
                <c:pt idx="0">
                  <c:v>17.262</c:v>
                </c:pt>
                <c:pt idx="1">
                  <c:v>25.545000000000002</c:v>
                </c:pt>
                <c:pt idx="2">
                  <c:v>32.665999999999997</c:v>
                </c:pt>
                <c:pt idx="3">
                  <c:v>40.603000000000002</c:v>
                </c:pt>
                <c:pt idx="4">
                  <c:v>47.402999999999999</c:v>
                </c:pt>
                <c:pt idx="5">
                  <c:v>54.972999999999999</c:v>
                </c:pt>
                <c:pt idx="6">
                  <c:v>61.148000000000003</c:v>
                </c:pt>
                <c:pt idx="7">
                  <c:v>17.465</c:v>
                </c:pt>
                <c:pt idx="8">
                  <c:v>26.015000000000001</c:v>
                </c:pt>
                <c:pt idx="9">
                  <c:v>33.515999999999998</c:v>
                </c:pt>
                <c:pt idx="10">
                  <c:v>41.835000000000001</c:v>
                </c:pt>
                <c:pt idx="11">
                  <c:v>49.222999999999999</c:v>
                </c:pt>
                <c:pt idx="12">
                  <c:v>57.174999999999997</c:v>
                </c:pt>
                <c:pt idx="13">
                  <c:v>64.384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45-4BFF-B373-94EE1C460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990224"/>
        <c:axId val="1527654976"/>
      </c:scatterChart>
      <c:scatterChart>
        <c:scatterStyle val="smoothMarker"/>
        <c:varyColors val="0"/>
        <c:ser>
          <c:idx val="1"/>
          <c:order val="1"/>
          <c:tx>
            <c:strRef>
              <c:f>Лист1!$Y$37:$Z$37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Лист1!$Z$37:$AA$37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Лист1!$Z$38:$AA$38</c:f>
              <c:numCache>
                <c:formatCode>General</c:formatCode>
                <c:ptCount val="2"/>
                <c:pt idx="0">
                  <c:v>3.8779647636970083</c:v>
                </c:pt>
                <c:pt idx="1">
                  <c:v>65.936530804533035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45-4BFF-B373-94EE1C460F9B}"/>
            </c:ext>
          </c:extLst>
        </c:ser>
        <c:ser>
          <c:idx val="2"/>
          <c:order val="2"/>
          <c:tx>
            <c:v>с утяжелителем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Лист1!$AC$37:$AD$37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xVal>
          <c:yVal>
            <c:numRef>
              <c:f>Лист1!$AC$38:$AD$38</c:f>
              <c:numCache>
                <c:formatCode>General</c:formatCode>
                <c:ptCount val="2"/>
                <c:pt idx="0">
                  <c:v>4.45</c:v>
                </c:pt>
                <c:pt idx="1">
                  <c:v>79.1434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45-4BFF-B373-94EE1C460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990224"/>
        <c:axId val="1527654976"/>
      </c:scatterChart>
      <c:valAx>
        <c:axId val="27899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a</a:t>
                </a:r>
                <a:r>
                  <a:rPr lang="en-US" baseline="0">
                    <a:solidFill>
                      <a:schemeClr val="tx1"/>
                    </a:solidFill>
                  </a:rPr>
                  <a:t> </a:t>
                </a:r>
                <a:r>
                  <a:rPr lang="ru-RU" baseline="0">
                    <a:solidFill>
                      <a:schemeClr val="tx1"/>
                    </a:solidFill>
                  </a:rPr>
                  <a:t>м</a:t>
                </a:r>
                <a:r>
                  <a:rPr lang="en-US" baseline="0">
                    <a:solidFill>
                      <a:schemeClr val="tx1"/>
                    </a:solidFill>
                  </a:rPr>
                  <a:t>/c2</a:t>
                </a:r>
                <a:endParaRPr lang="ru-RU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7654976"/>
        <c:crosses val="autoZero"/>
        <c:crossBetween val="midCat"/>
      </c:valAx>
      <c:valAx>
        <c:axId val="152765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>
                    <a:solidFill>
                      <a:schemeClr val="tx1"/>
                    </a:solidFill>
                  </a:rPr>
                  <a:t>Т</a:t>
                </a:r>
                <a:r>
                  <a:rPr lang="ru-RU" baseline="0">
                    <a:solidFill>
                      <a:schemeClr val="tx1"/>
                    </a:solidFill>
                  </a:rPr>
                  <a:t> мН</a:t>
                </a:r>
                <a:endParaRPr lang="ru-RU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899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541367</xdr:colOff>
      <xdr:row>46</xdr:row>
      <xdr:rowOff>12778</xdr:rowOff>
    </xdr:from>
    <xdr:to>
      <xdr:col>30</xdr:col>
      <xdr:colOff>373280</xdr:colOff>
      <xdr:row>64</xdr:row>
      <xdr:rowOff>146128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C7C3C23-A408-EA98-4644-23FFE75DE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628F4-2854-4708-AD66-259EC818CD58}">
  <dimension ref="A1:AD78"/>
  <sheetViews>
    <sheetView tabSelected="1" topLeftCell="I31" zoomScale="85" zoomScaleNormal="85" workbookViewId="0">
      <selection activeCell="P21" sqref="P21"/>
    </sheetView>
  </sheetViews>
  <sheetFormatPr defaultRowHeight="15" x14ac:dyDescent="0.25"/>
  <cols>
    <col min="1" max="1" width="8.85546875" style="4"/>
    <col min="2" max="2" width="24.42578125" style="4" customWidth="1"/>
    <col min="3" max="6" width="8.85546875" style="4"/>
    <col min="9" max="9" width="10.42578125" customWidth="1"/>
    <col min="13" max="13" width="11" customWidth="1"/>
    <col min="14" max="14" width="9.42578125" customWidth="1"/>
    <col min="15" max="15" width="11.28515625" customWidth="1"/>
    <col min="18" max="18" width="12.7109375" customWidth="1"/>
    <col min="20" max="20" width="16.28515625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3" t="s">
        <v>0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4"/>
      <c r="O1" s="2" t="s">
        <v>46</v>
      </c>
      <c r="P1" s="2" t="s">
        <v>47</v>
      </c>
      <c r="R1" s="3" t="s">
        <v>48</v>
      </c>
      <c r="S1" s="3" t="s">
        <v>49</v>
      </c>
      <c r="T1" s="1" t="s">
        <v>50</v>
      </c>
      <c r="U1" s="1" t="s">
        <v>51</v>
      </c>
    </row>
    <row r="2" spans="1:21" x14ac:dyDescent="0.25">
      <c r="A2" s="3">
        <v>1</v>
      </c>
      <c r="B2" s="5">
        <v>49.86</v>
      </c>
      <c r="C2" s="5">
        <v>48.76</v>
      </c>
      <c r="D2" s="5">
        <v>0.53</v>
      </c>
      <c r="E2" s="5">
        <v>0.06</v>
      </c>
      <c r="F2" s="5">
        <v>0.42</v>
      </c>
      <c r="H2" s="3">
        <v>1</v>
      </c>
      <c r="I2" s="7">
        <f>B2*D2</f>
        <v>26.425800000000002</v>
      </c>
      <c r="J2" s="7">
        <f>ROUND(B2*E2,3)</f>
        <v>2.992</v>
      </c>
      <c r="K2" s="7">
        <f>ROUND(C2*F2,3)</f>
        <v>20.478999999999999</v>
      </c>
      <c r="L2" s="7">
        <f>ROUND((J2+K2)/I2 - 1,3)</f>
        <v>-0.112</v>
      </c>
      <c r="M2" s="7">
        <f>ROUND((B2*E2^2 + C2*F2^2)/(B2*D2^2) - 1,3)</f>
        <v>-0.373</v>
      </c>
      <c r="O2" s="11">
        <f>AVERAGE(L2:L6)</f>
        <v>-7.1199999999999999E-2</v>
      </c>
      <c r="P2" s="11">
        <f>AVERAGE(M2:M6)</f>
        <v>-0.30579999999999996</v>
      </c>
      <c r="R2" s="9">
        <f>(L2-O$2)^2</f>
        <v>1.6646400000000002E-3</v>
      </c>
      <c r="S2" s="10">
        <f>2.77 * SQRT(SUM(R2:R6)/(5*4))</f>
        <v>3.4076629616204709E-2</v>
      </c>
      <c r="T2" s="9">
        <f>(M2-P$2)^2</f>
        <v>4.5158400000000053E-3</v>
      </c>
      <c r="U2" s="10">
        <f>2.77 * SQRT(SUM(T2:T6)/(5*4))</f>
        <v>5.8900127385261243E-2</v>
      </c>
    </row>
    <row r="3" spans="1:21" x14ac:dyDescent="0.25">
      <c r="A3" s="3">
        <v>2</v>
      </c>
      <c r="B3" s="5">
        <v>49.86</v>
      </c>
      <c r="C3" s="5">
        <v>48.76</v>
      </c>
      <c r="D3" s="5">
        <v>0.53</v>
      </c>
      <c r="E3" s="5">
        <v>0.08</v>
      </c>
      <c r="F3" s="5">
        <v>0.43</v>
      </c>
      <c r="H3" s="3">
        <v>2</v>
      </c>
      <c r="I3" s="7">
        <f t="shared" ref="I3:I6" si="0">B3*D3</f>
        <v>26.425800000000002</v>
      </c>
      <c r="J3" s="7">
        <f t="shared" ref="J3:J6" si="1">ROUND(B3*E3,3)</f>
        <v>3.9889999999999999</v>
      </c>
      <c r="K3" s="7">
        <f t="shared" ref="K3:K6" si="2">ROUND(C3*F3,3)</f>
        <v>20.966999999999999</v>
      </c>
      <c r="L3" s="7">
        <f t="shared" ref="L3:L6" si="3">ROUND((J3+K3)/I3 - 1,3)</f>
        <v>-5.6000000000000001E-2</v>
      </c>
      <c r="M3" s="7">
        <f t="shared" ref="M3:M6" si="4">ROUND((B3*E3^2 + C3*F3^2)/(B3*D3^2) - 1,3)</f>
        <v>-0.33300000000000002</v>
      </c>
      <c r="R3" s="9">
        <f t="shared" ref="R3:R6" si="5">(L3-O$2)^2</f>
        <v>2.3103999999999996E-4</v>
      </c>
      <c r="S3" s="4"/>
      <c r="T3" s="9">
        <f t="shared" ref="T3:T6" si="6">(M3-P$2)^2</f>
        <v>7.3984000000000311E-4</v>
      </c>
    </row>
    <row r="4" spans="1:21" x14ac:dyDescent="0.25">
      <c r="A4" s="3">
        <v>3</v>
      </c>
      <c r="B4" s="5">
        <v>49.86</v>
      </c>
      <c r="C4" s="5">
        <v>48.76</v>
      </c>
      <c r="D4" s="5">
        <v>0.53</v>
      </c>
      <c r="E4" s="5">
        <v>0.05</v>
      </c>
      <c r="F4" s="5">
        <v>0.45</v>
      </c>
      <c r="H4" s="3">
        <v>3</v>
      </c>
      <c r="I4" s="7">
        <f t="shared" si="0"/>
        <v>26.425800000000002</v>
      </c>
      <c r="J4" s="7">
        <f t="shared" si="1"/>
        <v>2.4929999999999999</v>
      </c>
      <c r="K4" s="7">
        <f t="shared" si="2"/>
        <v>21.942</v>
      </c>
      <c r="L4" s="7">
        <f t="shared" si="3"/>
        <v>-7.4999999999999997E-2</v>
      </c>
      <c r="M4" s="7">
        <f t="shared" si="4"/>
        <v>-0.28599999999999998</v>
      </c>
      <c r="R4" s="9">
        <f t="shared" si="5"/>
        <v>1.4439999999999984E-5</v>
      </c>
      <c r="S4" s="4"/>
      <c r="T4" s="9">
        <f t="shared" si="6"/>
        <v>3.9203999999999937E-4</v>
      </c>
    </row>
    <row r="5" spans="1:21" x14ac:dyDescent="0.25">
      <c r="A5" s="3">
        <v>4</v>
      </c>
      <c r="B5" s="5">
        <v>49.86</v>
      </c>
      <c r="C5" s="5">
        <v>48.76</v>
      </c>
      <c r="D5" s="5">
        <v>0.53</v>
      </c>
      <c r="E5" s="5">
        <v>0.05</v>
      </c>
      <c r="F5" s="5">
        <v>0.45</v>
      </c>
      <c r="H5" s="3">
        <v>4</v>
      </c>
      <c r="I5" s="7">
        <f t="shared" si="0"/>
        <v>26.425800000000002</v>
      </c>
      <c r="J5" s="7">
        <f t="shared" si="1"/>
        <v>2.4929999999999999</v>
      </c>
      <c r="K5" s="7">
        <f t="shared" si="2"/>
        <v>21.942</v>
      </c>
      <c r="L5" s="7">
        <f t="shared" si="3"/>
        <v>-7.4999999999999997E-2</v>
      </c>
      <c r="M5" s="7">
        <f t="shared" si="4"/>
        <v>-0.28599999999999998</v>
      </c>
      <c r="R5" s="9">
        <f t="shared" si="5"/>
        <v>1.4439999999999984E-5</v>
      </c>
      <c r="S5" s="4"/>
      <c r="T5" s="9">
        <f t="shared" si="6"/>
        <v>3.9203999999999937E-4</v>
      </c>
    </row>
    <row r="6" spans="1:21" x14ac:dyDescent="0.25">
      <c r="A6" s="3">
        <v>5</v>
      </c>
      <c r="B6" s="5">
        <v>49.86</v>
      </c>
      <c r="C6" s="5">
        <v>48.76</v>
      </c>
      <c r="D6" s="5">
        <v>0.53</v>
      </c>
      <c r="E6" s="5">
        <v>0.06</v>
      </c>
      <c r="F6" s="5">
        <v>0.46</v>
      </c>
      <c r="H6" s="3">
        <v>5</v>
      </c>
      <c r="I6" s="7">
        <f t="shared" si="0"/>
        <v>26.425800000000002</v>
      </c>
      <c r="J6" s="7">
        <f t="shared" si="1"/>
        <v>2.992</v>
      </c>
      <c r="K6" s="7">
        <f t="shared" si="2"/>
        <v>22.43</v>
      </c>
      <c r="L6" s="7">
        <f t="shared" si="3"/>
        <v>-3.7999999999999999E-2</v>
      </c>
      <c r="M6" s="7">
        <f t="shared" si="4"/>
        <v>-0.251</v>
      </c>
      <c r="R6" s="9">
        <f t="shared" si="5"/>
        <v>1.10224E-3</v>
      </c>
      <c r="S6" s="4"/>
      <c r="T6" s="9">
        <f t="shared" si="6"/>
        <v>3.0030399999999955E-3</v>
      </c>
    </row>
    <row r="10" spans="1:21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H10" s="3" t="s">
        <v>0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O10" s="2" t="s">
        <v>46</v>
      </c>
      <c r="P10" s="2" t="s">
        <v>47</v>
      </c>
      <c r="R10" s="3" t="s">
        <v>48</v>
      </c>
      <c r="S10" s="3" t="s">
        <v>49</v>
      </c>
      <c r="T10" s="1" t="s">
        <v>50</v>
      </c>
      <c r="U10" s="1" t="s">
        <v>51</v>
      </c>
    </row>
    <row r="11" spans="1:21" x14ac:dyDescent="0.25">
      <c r="A11" s="3">
        <v>1</v>
      </c>
      <c r="B11" s="5">
        <v>49.86</v>
      </c>
      <c r="C11" s="5">
        <v>100</v>
      </c>
      <c r="D11" s="5">
        <v>0.53</v>
      </c>
      <c r="E11" s="5">
        <v>-0.09</v>
      </c>
      <c r="F11" s="5">
        <v>0.3</v>
      </c>
      <c r="H11" s="3">
        <v>1</v>
      </c>
      <c r="I11" s="7">
        <f>ROUND(B11*D11, 3)</f>
        <v>26.425999999999998</v>
      </c>
      <c r="J11" s="7">
        <f>ROUND(B11*E11,3)</f>
        <v>-4.4870000000000001</v>
      </c>
      <c r="K11" s="7">
        <f>ROUND(C11*F11,3)</f>
        <v>30</v>
      </c>
      <c r="L11" s="7">
        <f>ROUND((J11+K11)/I11 - 1,3)</f>
        <v>-3.5000000000000003E-2</v>
      </c>
      <c r="M11" s="7">
        <f>ROUND((B11*E11^2 + C11*F11^2)/(B11*D11^2) - 1,3)</f>
        <v>-0.32900000000000001</v>
      </c>
      <c r="O11" s="11">
        <f>AVERAGE(L11:L15)</f>
        <v>-5.3800000000000001E-2</v>
      </c>
      <c r="P11" s="11">
        <f>AVERAGE(M11:M15)</f>
        <v>-0.39600000000000002</v>
      </c>
      <c r="R11" s="9">
        <f>(L11-O$11)^2</f>
        <v>3.534399999999999E-4</v>
      </c>
      <c r="S11" s="10">
        <f>2.77 * SQRT(SUM(R11:R15)/(5*4))</f>
        <v>5.7275401927878257E-2</v>
      </c>
      <c r="T11" s="9">
        <f>(M11-P$11)^2</f>
        <v>4.4890000000000008E-3</v>
      </c>
      <c r="U11" s="10">
        <f>2.77 * SQRT(SUM(T11:T15)/(5*4))</f>
        <v>6.1864711427436568E-2</v>
      </c>
    </row>
    <row r="12" spans="1:21" x14ac:dyDescent="0.25">
      <c r="A12" s="3">
        <v>2</v>
      </c>
      <c r="B12" s="5">
        <v>49.86</v>
      </c>
      <c r="C12" s="5">
        <v>100</v>
      </c>
      <c r="D12" s="5">
        <v>0.53</v>
      </c>
      <c r="E12" s="5">
        <v>-0.06</v>
      </c>
      <c r="F12" s="5">
        <v>0.27</v>
      </c>
      <c r="H12" s="3">
        <v>2</v>
      </c>
      <c r="I12" s="7">
        <f t="shared" ref="I12:I15" si="7">ROUND(B12*D12, 3)</f>
        <v>26.425999999999998</v>
      </c>
      <c r="J12" s="7">
        <f t="shared" ref="J12:J15" si="8">ROUND(B12*E12,3)</f>
        <v>-2.992</v>
      </c>
      <c r="K12" s="7">
        <f t="shared" ref="K12:K15" si="9">ROUND(C12*F12,3)</f>
        <v>27</v>
      </c>
      <c r="L12" s="7">
        <f t="shared" ref="L12:L15" si="10">ROUND((J12+K12)/I12 - 1,3)</f>
        <v>-9.1999999999999998E-2</v>
      </c>
      <c r="M12" s="7">
        <f t="shared" ref="M12:M15" si="11">ROUND((B12*E12^2 + C12*F12^2)/(B12*D12^2) - 1,3)</f>
        <v>-0.46700000000000003</v>
      </c>
      <c r="R12" s="9">
        <f t="shared" ref="R12:R15" si="12">(L12-O$11)^2</f>
        <v>1.4592399999999999E-3</v>
      </c>
      <c r="S12" s="4"/>
      <c r="T12" s="9">
        <f t="shared" ref="T12:T15" si="13">(M12-P$11)^2</f>
        <v>5.0410000000000012E-3</v>
      </c>
    </row>
    <row r="13" spans="1:21" x14ac:dyDescent="0.25">
      <c r="A13" s="3">
        <v>3</v>
      </c>
      <c r="B13" s="5">
        <v>49.86</v>
      </c>
      <c r="C13" s="5">
        <v>100</v>
      </c>
      <c r="D13" s="5">
        <v>0.53</v>
      </c>
      <c r="E13" s="5">
        <v>-7.0000000000000007E-2</v>
      </c>
      <c r="F13" s="5">
        <v>0.28999999999999998</v>
      </c>
      <c r="H13" s="3">
        <v>3</v>
      </c>
      <c r="I13" s="7">
        <f t="shared" si="7"/>
        <v>26.425999999999998</v>
      </c>
      <c r="J13" s="7">
        <f t="shared" si="8"/>
        <v>-3.49</v>
      </c>
      <c r="K13" s="7">
        <f t="shared" si="9"/>
        <v>29</v>
      </c>
      <c r="L13" s="7">
        <f t="shared" si="10"/>
        <v>-3.5000000000000003E-2</v>
      </c>
      <c r="M13" s="7">
        <f t="shared" si="11"/>
        <v>-0.38200000000000001</v>
      </c>
      <c r="R13" s="9">
        <f t="shared" si="12"/>
        <v>3.534399999999999E-4</v>
      </c>
      <c r="S13" s="4"/>
      <c r="T13" s="9">
        <f t="shared" si="13"/>
        <v>1.9600000000000035E-4</v>
      </c>
    </row>
    <row r="14" spans="1:21" x14ac:dyDescent="0.25">
      <c r="A14" s="3">
        <v>4</v>
      </c>
      <c r="B14" s="5">
        <v>49.86</v>
      </c>
      <c r="C14" s="5">
        <v>100</v>
      </c>
      <c r="D14" s="5">
        <v>0.53</v>
      </c>
      <c r="E14" s="5">
        <v>-0.05</v>
      </c>
      <c r="F14" s="5">
        <v>0.28999999999999998</v>
      </c>
      <c r="H14" s="3">
        <v>4</v>
      </c>
      <c r="I14" s="7">
        <f t="shared" si="7"/>
        <v>26.425999999999998</v>
      </c>
      <c r="J14" s="7">
        <f t="shared" si="8"/>
        <v>-2.4929999999999999</v>
      </c>
      <c r="K14" s="7">
        <f t="shared" si="9"/>
        <v>29</v>
      </c>
      <c r="L14" s="7">
        <f t="shared" si="10"/>
        <v>3.0000000000000001E-3</v>
      </c>
      <c r="M14" s="7">
        <f t="shared" si="11"/>
        <v>-0.39100000000000001</v>
      </c>
      <c r="R14" s="9">
        <f t="shared" si="12"/>
        <v>3.2262400000000004E-3</v>
      </c>
      <c r="S14" s="4"/>
      <c r="T14" s="9">
        <f t="shared" si="13"/>
        <v>2.5000000000000045E-5</v>
      </c>
    </row>
    <row r="15" spans="1:21" x14ac:dyDescent="0.25">
      <c r="A15" s="3">
        <v>5</v>
      </c>
      <c r="B15" s="5">
        <v>49.86</v>
      </c>
      <c r="C15" s="5">
        <v>100</v>
      </c>
      <c r="D15" s="5">
        <v>0.53</v>
      </c>
      <c r="E15" s="5">
        <v>-0.09</v>
      </c>
      <c r="F15" s="5">
        <v>0.28000000000000003</v>
      </c>
      <c r="H15" s="3">
        <v>5</v>
      </c>
      <c r="I15" s="7">
        <f t="shared" si="7"/>
        <v>26.425999999999998</v>
      </c>
      <c r="J15" s="7">
        <f t="shared" si="8"/>
        <v>-4.4870000000000001</v>
      </c>
      <c r="K15" s="7">
        <f t="shared" si="9"/>
        <v>28</v>
      </c>
      <c r="L15" s="7">
        <f t="shared" si="10"/>
        <v>-0.11</v>
      </c>
      <c r="M15" s="7">
        <f t="shared" si="11"/>
        <v>-0.41099999999999998</v>
      </c>
      <c r="R15" s="9">
        <f t="shared" si="12"/>
        <v>3.1584400000000002E-3</v>
      </c>
      <c r="S15" s="4"/>
      <c r="T15" s="9">
        <f t="shared" si="13"/>
        <v>2.2499999999999875E-4</v>
      </c>
    </row>
    <row r="19" spans="1:21" x14ac:dyDescent="0.25">
      <c r="A19" s="3" t="s">
        <v>0</v>
      </c>
      <c r="B19" s="3" t="s">
        <v>1</v>
      </c>
      <c r="C19" s="3" t="s">
        <v>2</v>
      </c>
      <c r="D19" s="3" t="s">
        <v>6</v>
      </c>
      <c r="E19" s="3" t="s">
        <v>7</v>
      </c>
      <c r="H19" s="3" t="s">
        <v>0</v>
      </c>
      <c r="I19" s="3" t="s">
        <v>24</v>
      </c>
      <c r="J19" s="3" t="s">
        <v>25</v>
      </c>
      <c r="K19" s="3" t="s">
        <v>22</v>
      </c>
      <c r="L19" s="3" t="s">
        <v>26</v>
      </c>
      <c r="M19" s="3" t="s">
        <v>27</v>
      </c>
      <c r="O19" s="2" t="s">
        <v>46</v>
      </c>
      <c r="P19" s="2" t="s">
        <v>47</v>
      </c>
      <c r="R19" s="3" t="s">
        <v>48</v>
      </c>
      <c r="S19" s="3" t="s">
        <v>49</v>
      </c>
      <c r="T19" s="1" t="s">
        <v>53</v>
      </c>
      <c r="U19" s="1" t="s">
        <v>52</v>
      </c>
    </row>
    <row r="20" spans="1:21" x14ac:dyDescent="0.25">
      <c r="A20" s="3">
        <v>1</v>
      </c>
      <c r="B20" s="3">
        <v>52.78</v>
      </c>
      <c r="C20" s="3">
        <v>50.89</v>
      </c>
      <c r="D20" s="3">
        <v>0.51</v>
      </c>
      <c r="E20" s="3">
        <v>0.23</v>
      </c>
      <c r="H20" s="3">
        <v>1</v>
      </c>
      <c r="I20" s="3">
        <f>ROUND(B20*D20, 3)</f>
        <v>26.917999999999999</v>
      </c>
      <c r="J20" s="3">
        <f>ROUND((B20+C20)*E20, 3)</f>
        <v>23.844000000000001</v>
      </c>
      <c r="K20" s="3">
        <f>ROUND(J20/I20 - 1,3)</f>
        <v>-0.114</v>
      </c>
      <c r="L20" s="5">
        <f>ROUND(((B20+C20)*E20^2)/(B20 * D20^2) - 1,2)</f>
        <v>-0.6</v>
      </c>
      <c r="M20" s="15">
        <f>ROUND(-(C20)/(B20+C20), 3)</f>
        <v>-0.49099999999999999</v>
      </c>
      <c r="O20" s="11">
        <f>AVERAGE(K20:K24)</f>
        <v>-4.4600000000000001E-2</v>
      </c>
      <c r="P20" s="11">
        <f>AVERAGE(L20:L24)</f>
        <v>-0.53599999999999992</v>
      </c>
      <c r="R20" s="9">
        <f>(K20-O$20)^2</f>
        <v>4.8163600000000004E-3</v>
      </c>
      <c r="S20" s="10">
        <f>2.77 * SQRT(SUM(R20:R24)/(5*4))</f>
        <v>4.9408601113571315E-2</v>
      </c>
      <c r="T20" s="9">
        <f>(L20-P$20)^2</f>
        <v>4.0960000000000076E-3</v>
      </c>
      <c r="U20" s="10">
        <f>2.77 * SQRT(SUM(T20:T24)/(5*4))</f>
        <v>4.6018696200566117E-2</v>
      </c>
    </row>
    <row r="21" spans="1:21" x14ac:dyDescent="0.25">
      <c r="A21" s="3">
        <v>2</v>
      </c>
      <c r="B21" s="3">
        <v>52.78</v>
      </c>
      <c r="C21" s="3">
        <v>50.89</v>
      </c>
      <c r="D21" s="3">
        <v>0.52</v>
      </c>
      <c r="E21" s="3">
        <v>0.26</v>
      </c>
      <c r="H21" s="3">
        <v>2</v>
      </c>
      <c r="I21" s="3">
        <f t="shared" ref="I21:I24" si="14">ROUND(B21*D21, 3)</f>
        <v>27.446000000000002</v>
      </c>
      <c r="J21" s="3">
        <f t="shared" ref="J21:J24" si="15">ROUND((B21+C21)*E21, 3)</f>
        <v>26.954000000000001</v>
      </c>
      <c r="K21" s="3">
        <f t="shared" ref="K21:K24" si="16">ROUND(J21/I21 - 1,3)</f>
        <v>-1.7999999999999999E-2</v>
      </c>
      <c r="L21" s="5">
        <f t="shared" ref="L21:L24" si="17">ROUND(((B21+C21)*E21^2)/(B21 * D21^2) - 1,2)</f>
        <v>-0.51</v>
      </c>
      <c r="M21" s="16"/>
      <c r="R21" s="9">
        <f t="shared" ref="R21:R24" si="18">(K21-O$20)^2</f>
        <v>7.0756000000000009E-4</v>
      </c>
      <c r="S21" s="4"/>
      <c r="T21" s="9">
        <f t="shared" ref="T21:T24" si="19">(L21-P$20)^2</f>
        <v>6.759999999999954E-4</v>
      </c>
    </row>
    <row r="22" spans="1:21" x14ac:dyDescent="0.25">
      <c r="A22" s="3">
        <v>3</v>
      </c>
      <c r="B22" s="3">
        <v>52.78</v>
      </c>
      <c r="C22" s="3">
        <v>50.89</v>
      </c>
      <c r="D22" s="3">
        <v>0.53</v>
      </c>
      <c r="E22" s="3">
        <v>0.26</v>
      </c>
      <c r="H22" s="3">
        <v>3</v>
      </c>
      <c r="I22" s="3">
        <f t="shared" si="14"/>
        <v>27.972999999999999</v>
      </c>
      <c r="J22" s="3">
        <f t="shared" si="15"/>
        <v>26.954000000000001</v>
      </c>
      <c r="K22" s="3">
        <f t="shared" si="16"/>
        <v>-3.5999999999999997E-2</v>
      </c>
      <c r="L22" s="5">
        <f t="shared" si="17"/>
        <v>-0.53</v>
      </c>
      <c r="M22" s="16"/>
      <c r="R22" s="9">
        <f t="shared" si="18"/>
        <v>7.3960000000000058E-5</v>
      </c>
      <c r="S22" s="4"/>
      <c r="T22" s="9">
        <f t="shared" si="19"/>
        <v>3.5999999999998734E-5</v>
      </c>
    </row>
    <row r="23" spans="1:21" x14ac:dyDescent="0.25">
      <c r="A23" s="3">
        <v>4</v>
      </c>
      <c r="B23" s="3">
        <v>52.78</v>
      </c>
      <c r="C23" s="3">
        <v>50.89</v>
      </c>
      <c r="D23" s="3">
        <v>0.51</v>
      </c>
      <c r="E23" s="3">
        <v>0.25</v>
      </c>
      <c r="H23" s="3">
        <v>4</v>
      </c>
      <c r="I23" s="3">
        <f t="shared" si="14"/>
        <v>26.917999999999999</v>
      </c>
      <c r="J23" s="3">
        <f t="shared" si="15"/>
        <v>25.917999999999999</v>
      </c>
      <c r="K23" s="3">
        <f t="shared" si="16"/>
        <v>-3.6999999999999998E-2</v>
      </c>
      <c r="L23" s="5">
        <f t="shared" si="17"/>
        <v>-0.53</v>
      </c>
      <c r="M23" s="16"/>
      <c r="R23" s="9">
        <f>(K23-O$20)^2</f>
        <v>5.7760000000000037E-5</v>
      </c>
      <c r="S23" s="4"/>
      <c r="T23" s="9">
        <f t="shared" si="19"/>
        <v>3.5999999999998734E-5</v>
      </c>
    </row>
    <row r="24" spans="1:21" x14ac:dyDescent="0.25">
      <c r="A24" s="3">
        <v>5</v>
      </c>
      <c r="B24" s="3">
        <v>52.78</v>
      </c>
      <c r="C24" s="3">
        <v>50.89</v>
      </c>
      <c r="D24" s="3">
        <v>0.52</v>
      </c>
      <c r="E24" s="3">
        <v>0.26</v>
      </c>
      <c r="H24" s="3">
        <v>5</v>
      </c>
      <c r="I24" s="3">
        <f t="shared" si="14"/>
        <v>27.446000000000002</v>
      </c>
      <c r="J24" s="3">
        <f t="shared" si="15"/>
        <v>26.954000000000001</v>
      </c>
      <c r="K24" s="3">
        <f t="shared" si="16"/>
        <v>-1.7999999999999999E-2</v>
      </c>
      <c r="L24" s="5">
        <f t="shared" si="17"/>
        <v>-0.51</v>
      </c>
      <c r="M24" s="17"/>
      <c r="R24" s="9">
        <f t="shared" si="18"/>
        <v>7.0756000000000009E-4</v>
      </c>
      <c r="S24" s="4"/>
      <c r="T24" s="9">
        <f t="shared" si="19"/>
        <v>6.759999999999954E-4</v>
      </c>
    </row>
    <row r="28" spans="1:21" x14ac:dyDescent="0.25">
      <c r="A28" s="3" t="s">
        <v>0</v>
      </c>
      <c r="B28" s="3" t="s">
        <v>1</v>
      </c>
      <c r="C28" s="3" t="s">
        <v>2</v>
      </c>
      <c r="D28" s="3" t="s">
        <v>6</v>
      </c>
      <c r="E28" s="3" t="s">
        <v>7</v>
      </c>
      <c r="H28" s="3" t="s">
        <v>0</v>
      </c>
      <c r="I28" s="3" t="s">
        <v>24</v>
      </c>
      <c r="J28" s="3" t="s">
        <v>25</v>
      </c>
      <c r="K28" s="3" t="s">
        <v>22</v>
      </c>
      <c r="L28" s="3" t="s">
        <v>26</v>
      </c>
      <c r="M28" s="3" t="s">
        <v>27</v>
      </c>
      <c r="O28" s="2" t="s">
        <v>46</v>
      </c>
      <c r="P28" s="2" t="s">
        <v>47</v>
      </c>
      <c r="R28" s="3" t="s">
        <v>48</v>
      </c>
      <c r="S28" s="3" t="s">
        <v>49</v>
      </c>
      <c r="T28" s="1" t="s">
        <v>53</v>
      </c>
      <c r="U28" s="1" t="s">
        <v>52</v>
      </c>
    </row>
    <row r="29" spans="1:21" x14ac:dyDescent="0.25">
      <c r="A29" s="3">
        <v>1</v>
      </c>
      <c r="B29" s="3">
        <v>52.78</v>
      </c>
      <c r="C29" s="3">
        <v>102.16</v>
      </c>
      <c r="D29" s="3">
        <v>0.52</v>
      </c>
      <c r="E29" s="3">
        <v>0.14000000000000001</v>
      </c>
      <c r="H29" s="3">
        <v>1</v>
      </c>
      <c r="I29" s="7">
        <f>ROUND(B29*D29, 3)</f>
        <v>27.446000000000002</v>
      </c>
      <c r="J29" s="7">
        <f>ROUND((B29+C29)*E29, 3)</f>
        <v>21.692</v>
      </c>
      <c r="K29" s="7">
        <f>ROUND(J29/I29 - 1,3)</f>
        <v>-0.21</v>
      </c>
      <c r="L29" s="5">
        <f>ROUND(((B29+C29)*E29^2)/(B29 * D29^2) - 1,2)</f>
        <v>-0.79</v>
      </c>
      <c r="M29" s="15">
        <f>ROUND(-(C29)/(B29+C29), 3)</f>
        <v>-0.65900000000000003</v>
      </c>
      <c r="O29" s="11">
        <f>AVERAGE(K29:K33)</f>
        <v>-0.152</v>
      </c>
      <c r="P29" s="11">
        <f>AVERAGE(L29:L33)</f>
        <v>-0.754</v>
      </c>
      <c r="R29" s="9">
        <f>(K29-O$29)^2</f>
        <v>3.3639999999999994E-3</v>
      </c>
      <c r="S29" s="10">
        <f>2.77 * SQRT(SUM(R29:R33)/(5*4))</f>
        <v>7.4856655482328352E-2</v>
      </c>
      <c r="T29" s="9">
        <f>(L29-P$29)^2</f>
        <v>1.2960000000000022E-3</v>
      </c>
      <c r="U29" s="10">
        <f>2.77 * SQRT(SUM(T29:T33)/(5*4))</f>
        <v>4.6844950635047143E-2</v>
      </c>
    </row>
    <row r="30" spans="1:21" x14ac:dyDescent="0.25">
      <c r="A30" s="3">
        <v>2</v>
      </c>
      <c r="B30" s="3">
        <v>52.78</v>
      </c>
      <c r="C30" s="3">
        <v>102.16</v>
      </c>
      <c r="D30" s="3">
        <v>0.53</v>
      </c>
      <c r="E30" s="3">
        <v>0.14000000000000001</v>
      </c>
      <c r="H30" s="3">
        <v>2</v>
      </c>
      <c r="I30" s="7">
        <f t="shared" ref="I30:I33" si="20">ROUND(B30*D30, 3)</f>
        <v>27.972999999999999</v>
      </c>
      <c r="J30" s="7">
        <f t="shared" ref="J30:J33" si="21">ROUND((B30+C30)*E30, 3)</f>
        <v>21.692</v>
      </c>
      <c r="K30" s="7">
        <f t="shared" ref="K30:K33" si="22">ROUND(J30/I30 - 1,3)</f>
        <v>-0.22500000000000001</v>
      </c>
      <c r="L30" s="5">
        <f t="shared" ref="L30:L33" si="23">ROUND(((B30+C30)*E30^2)/(B30 * D30^2) - 1,2)</f>
        <v>-0.8</v>
      </c>
      <c r="M30" s="16"/>
      <c r="R30" s="9">
        <f t="shared" ref="R30:R33" si="24">(K30-O$29)^2</f>
        <v>5.3290000000000013E-3</v>
      </c>
      <c r="S30" s="4"/>
      <c r="T30" s="9">
        <f t="shared" ref="T30:T33" si="25">(L30-P$29)^2</f>
        <v>2.1160000000000037E-3</v>
      </c>
    </row>
    <row r="31" spans="1:21" x14ac:dyDescent="0.25">
      <c r="A31" s="3">
        <v>3</v>
      </c>
      <c r="B31" s="3">
        <v>52.78</v>
      </c>
      <c r="C31" s="3">
        <v>102.16</v>
      </c>
      <c r="D31" s="3">
        <v>0.52</v>
      </c>
      <c r="E31" s="3">
        <v>0.16</v>
      </c>
      <c r="H31" s="3">
        <v>3</v>
      </c>
      <c r="I31" s="7">
        <f t="shared" si="20"/>
        <v>27.446000000000002</v>
      </c>
      <c r="J31" s="7">
        <f t="shared" si="21"/>
        <v>24.79</v>
      </c>
      <c r="K31" s="7">
        <f t="shared" si="22"/>
        <v>-9.7000000000000003E-2</v>
      </c>
      <c r="L31" s="5">
        <f t="shared" si="23"/>
        <v>-0.72</v>
      </c>
      <c r="M31" s="16"/>
      <c r="R31" s="9">
        <f t="shared" si="24"/>
        <v>3.0249999999999995E-3</v>
      </c>
      <c r="S31" s="4"/>
      <c r="T31" s="9">
        <f t="shared" si="25"/>
        <v>1.1560000000000021E-3</v>
      </c>
    </row>
    <row r="32" spans="1:21" x14ac:dyDescent="0.25">
      <c r="A32" s="3">
        <v>4</v>
      </c>
      <c r="B32" s="3">
        <v>52.78</v>
      </c>
      <c r="C32" s="3">
        <v>102.16</v>
      </c>
      <c r="D32" s="3">
        <v>0.53</v>
      </c>
      <c r="E32" s="3">
        <v>0.16</v>
      </c>
      <c r="H32" s="3">
        <v>4</v>
      </c>
      <c r="I32" s="7">
        <f t="shared" si="20"/>
        <v>27.972999999999999</v>
      </c>
      <c r="J32" s="7">
        <f t="shared" si="21"/>
        <v>24.79</v>
      </c>
      <c r="K32" s="7">
        <f t="shared" si="22"/>
        <v>-0.114</v>
      </c>
      <c r="L32" s="5">
        <f t="shared" si="23"/>
        <v>-0.73</v>
      </c>
      <c r="M32" s="16"/>
      <c r="R32" s="9">
        <f t="shared" si="24"/>
        <v>1.4439999999999993E-3</v>
      </c>
      <c r="S32" s="4"/>
      <c r="T32" s="9">
        <f t="shared" si="25"/>
        <v>5.7600000000000099E-4</v>
      </c>
    </row>
    <row r="33" spans="1:30" x14ac:dyDescent="0.25">
      <c r="A33" s="3">
        <v>5</v>
      </c>
      <c r="B33" s="3">
        <v>52.78</v>
      </c>
      <c r="C33" s="3">
        <v>102.16</v>
      </c>
      <c r="D33" s="3">
        <v>0.53</v>
      </c>
      <c r="E33" s="3">
        <v>0.16</v>
      </c>
      <c r="H33" s="3">
        <v>5</v>
      </c>
      <c r="I33" s="7">
        <f t="shared" si="20"/>
        <v>27.972999999999999</v>
      </c>
      <c r="J33" s="7">
        <f t="shared" si="21"/>
        <v>24.79</v>
      </c>
      <c r="K33" s="7">
        <f t="shared" si="22"/>
        <v>-0.114</v>
      </c>
      <c r="L33" s="5">
        <f t="shared" si="23"/>
        <v>-0.73</v>
      </c>
      <c r="M33" s="17"/>
      <c r="R33" s="9">
        <f t="shared" si="24"/>
        <v>1.4439999999999993E-3</v>
      </c>
      <c r="S33" s="4"/>
      <c r="T33" s="9">
        <f t="shared" si="25"/>
        <v>5.7600000000000099E-4</v>
      </c>
    </row>
    <row r="36" spans="1:30" x14ac:dyDescent="0.25">
      <c r="M36" s="3">
        <v>1</v>
      </c>
      <c r="N36" s="3">
        <v>2</v>
      </c>
      <c r="O36" s="3">
        <v>3</v>
      </c>
    </row>
    <row r="37" spans="1:30" x14ac:dyDescent="0.25">
      <c r="A37" s="3" t="s">
        <v>0</v>
      </c>
      <c r="B37" s="3" t="s">
        <v>8</v>
      </c>
      <c r="C37" s="3" t="s">
        <v>9</v>
      </c>
      <c r="D37" s="3" t="s">
        <v>10</v>
      </c>
      <c r="E37" s="3" t="s">
        <v>11</v>
      </c>
      <c r="H37" s="3" t="s">
        <v>0</v>
      </c>
      <c r="I37" s="3" t="s">
        <v>9</v>
      </c>
      <c r="J37" s="3" t="s">
        <v>28</v>
      </c>
      <c r="K37" s="3" t="s">
        <v>29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39</v>
      </c>
      <c r="R37" s="3" t="s">
        <v>40</v>
      </c>
      <c r="S37" s="3" t="s">
        <v>36</v>
      </c>
      <c r="T37" s="3" t="s">
        <v>37</v>
      </c>
      <c r="Z37">
        <v>0</v>
      </c>
      <c r="AA37">
        <v>1</v>
      </c>
      <c r="AC37">
        <v>0</v>
      </c>
      <c r="AD37">
        <v>0.6</v>
      </c>
    </row>
    <row r="38" spans="1:30" x14ac:dyDescent="0.25">
      <c r="A38" s="3">
        <v>1</v>
      </c>
      <c r="B38" s="6" t="s">
        <v>12</v>
      </c>
      <c r="C38" s="3">
        <v>1.8</v>
      </c>
      <c r="D38" s="3">
        <v>0.25</v>
      </c>
      <c r="E38" s="3">
        <v>0.59</v>
      </c>
      <c r="H38" s="3">
        <v>1</v>
      </c>
      <c r="I38" s="3">
        <v>1.8</v>
      </c>
      <c r="J38" s="7">
        <f>ROUND((E38^2 - D38^2)/(2 * (0.8 - 0.15)), 3)</f>
        <v>0.22</v>
      </c>
      <c r="K38" s="7">
        <f>ROUND(I38*(9.81 - J38), 3)</f>
        <v>17.262</v>
      </c>
      <c r="M38" s="7">
        <f>J38 - 0.581</f>
        <v>-0.36099999999999999</v>
      </c>
      <c r="N38" s="7">
        <f>K38 - 39.943</f>
        <v>-22.680999999999997</v>
      </c>
      <c r="O38" s="7">
        <f>M38^2</f>
        <v>0.13032099999999999</v>
      </c>
      <c r="P38" s="3">
        <f>M38*N38</f>
        <v>8.1878409999999988</v>
      </c>
      <c r="Q38" s="19">
        <f>SUM(P38:P44)</f>
        <v>24.172370000000001</v>
      </c>
      <c r="R38" s="18">
        <f>SUM(O38:O44)</f>
        <v>0.38950899999999999</v>
      </c>
      <c r="S38" s="3">
        <f>ROUND(K38-($N$46+$M$46*J38), 3)</f>
        <v>-0.26900000000000002</v>
      </c>
      <c r="T38" s="3">
        <f>ROUND(S38^2, 4)</f>
        <v>7.2400000000000006E-2</v>
      </c>
      <c r="Z38">
        <f>M46*Z37+N46</f>
        <v>3.8779647636970083</v>
      </c>
      <c r="AA38">
        <f>M46*AA37+N46</f>
        <v>65.936530804533035</v>
      </c>
      <c r="AC38">
        <f>M57*AC37+N57</f>
        <v>4.45</v>
      </c>
      <c r="AD38">
        <f>M57*AD37+N57</f>
        <v>79.1434</v>
      </c>
    </row>
    <row r="39" spans="1:30" x14ac:dyDescent="0.25">
      <c r="A39" s="3">
        <v>2</v>
      </c>
      <c r="B39" s="6" t="s">
        <v>13</v>
      </c>
      <c r="C39" s="3">
        <v>2.7</v>
      </c>
      <c r="D39" s="3">
        <v>0.33</v>
      </c>
      <c r="E39" s="3">
        <v>0.75</v>
      </c>
      <c r="H39" s="3">
        <v>2</v>
      </c>
      <c r="I39" s="3">
        <v>2.7</v>
      </c>
      <c r="J39" s="7">
        <f t="shared" ref="J39:J44" si="26">ROUND((E39^2 - D39^2)/(2 * (0.8 - 0.15)), 3)</f>
        <v>0.34899999999999998</v>
      </c>
      <c r="K39" s="7">
        <f t="shared" ref="K39:K44" si="27">ROUND(I39*(9.81 - J39), 3)</f>
        <v>25.545000000000002</v>
      </c>
      <c r="M39" s="7">
        <f>J39 - 0.581</f>
        <v>-0.23199999999999998</v>
      </c>
      <c r="N39" s="7">
        <f t="shared" ref="N39:N44" si="28">K39 - 39.943</f>
        <v>-14.397999999999996</v>
      </c>
      <c r="O39" s="7">
        <f t="shared" ref="O39:O44" si="29">M39^2</f>
        <v>5.382399999999999E-2</v>
      </c>
      <c r="P39" s="3">
        <f t="shared" ref="P39:P44" si="30">M39*N39</f>
        <v>3.3403359999999989</v>
      </c>
      <c r="Q39" s="19"/>
      <c r="R39" s="19"/>
      <c r="S39" s="3">
        <f t="shared" ref="S39:S44" si="31">ROUND(K39-($N$46+$M$46*J39), 3)</f>
        <v>8.9999999999999993E-3</v>
      </c>
      <c r="T39" s="3">
        <f t="shared" ref="T39:T44" si="32">ROUND(S39^2, 4)</f>
        <v>1E-4</v>
      </c>
    </row>
    <row r="40" spans="1:30" x14ac:dyDescent="0.25">
      <c r="A40" s="3">
        <v>3</v>
      </c>
      <c r="B40" s="6" t="s">
        <v>14</v>
      </c>
      <c r="C40" s="3">
        <v>3.5</v>
      </c>
      <c r="D40" s="3">
        <v>0.37</v>
      </c>
      <c r="E40" s="3">
        <v>0.87</v>
      </c>
      <c r="H40" s="3">
        <v>3</v>
      </c>
      <c r="I40" s="3">
        <v>3.5</v>
      </c>
      <c r="J40" s="7">
        <f t="shared" si="26"/>
        <v>0.47699999999999998</v>
      </c>
      <c r="K40" s="7">
        <f t="shared" si="27"/>
        <v>32.665999999999997</v>
      </c>
      <c r="M40" s="7">
        <f t="shared" ref="M40:M44" si="33">J40 - 0.581</f>
        <v>-0.10399999999999998</v>
      </c>
      <c r="N40" s="7">
        <f t="shared" si="28"/>
        <v>-7.277000000000001</v>
      </c>
      <c r="O40" s="7">
        <f t="shared" si="29"/>
        <v>1.0815999999999996E-2</v>
      </c>
      <c r="P40" s="3">
        <f t="shared" si="30"/>
        <v>0.75680799999999993</v>
      </c>
      <c r="Q40" s="19"/>
      <c r="R40" s="19"/>
      <c r="S40" s="3">
        <f t="shared" si="31"/>
        <v>-0.81399999999999995</v>
      </c>
      <c r="T40" s="3">
        <f t="shared" si="32"/>
        <v>0.66259999999999997</v>
      </c>
    </row>
    <row r="41" spans="1:30" x14ac:dyDescent="0.25">
      <c r="A41" s="3">
        <v>4</v>
      </c>
      <c r="B41" s="6" t="s">
        <v>15</v>
      </c>
      <c r="C41" s="3">
        <v>4.4000000000000004</v>
      </c>
      <c r="D41" s="3">
        <v>0.43</v>
      </c>
      <c r="E41" s="3">
        <v>0.97</v>
      </c>
      <c r="H41" s="3">
        <v>4</v>
      </c>
      <c r="I41" s="3">
        <v>4.4000000000000004</v>
      </c>
      <c r="J41" s="7">
        <f t="shared" si="26"/>
        <v>0.58199999999999996</v>
      </c>
      <c r="K41" s="7">
        <f t="shared" si="27"/>
        <v>40.603000000000002</v>
      </c>
      <c r="L41" s="8"/>
      <c r="M41" s="7">
        <f t="shared" si="33"/>
        <v>1.0000000000000009E-3</v>
      </c>
      <c r="N41" s="7">
        <f t="shared" si="28"/>
        <v>0.66000000000000369</v>
      </c>
      <c r="O41" s="7">
        <f t="shared" si="29"/>
        <v>1.0000000000000019E-6</v>
      </c>
      <c r="P41" s="3">
        <f t="shared" si="30"/>
        <v>6.6000000000000433E-4</v>
      </c>
      <c r="Q41" s="19"/>
      <c r="R41" s="19"/>
      <c r="S41" s="3">
        <f t="shared" si="31"/>
        <v>0.60699999999999998</v>
      </c>
      <c r="T41" s="3">
        <f t="shared" si="32"/>
        <v>0.36840000000000001</v>
      </c>
    </row>
    <row r="42" spans="1:30" x14ac:dyDescent="0.25">
      <c r="A42" s="3">
        <v>5</v>
      </c>
      <c r="B42" s="6" t="s">
        <v>16</v>
      </c>
      <c r="C42" s="3">
        <v>5.2</v>
      </c>
      <c r="D42" s="3">
        <v>0.47</v>
      </c>
      <c r="E42" s="3">
        <v>1.06</v>
      </c>
      <c r="H42" s="3">
        <v>5</v>
      </c>
      <c r="I42" s="3">
        <v>5.2</v>
      </c>
      <c r="J42" s="7">
        <f>ROUND((E42^2 - D42^2)/(2 * (0.8 - 0.15)), 3)</f>
        <v>0.69399999999999995</v>
      </c>
      <c r="K42" s="7">
        <f t="shared" si="27"/>
        <v>47.402999999999999</v>
      </c>
      <c r="M42" s="7">
        <f t="shared" si="33"/>
        <v>0.11299999999999999</v>
      </c>
      <c r="N42" s="7">
        <f t="shared" si="28"/>
        <v>7.4600000000000009</v>
      </c>
      <c r="O42" s="7">
        <f t="shared" si="29"/>
        <v>1.2768999999999997E-2</v>
      </c>
      <c r="P42" s="3">
        <f t="shared" si="30"/>
        <v>0.84298000000000006</v>
      </c>
      <c r="Q42" s="19"/>
      <c r="R42" s="19"/>
      <c r="S42" s="3">
        <f t="shared" si="31"/>
        <v>0.45600000000000002</v>
      </c>
      <c r="T42" s="3">
        <f t="shared" si="32"/>
        <v>0.2079</v>
      </c>
      <c r="W42">
        <f>((SUM(T38:T44))/(R38*5))^0.5</f>
        <v>1.7870100812350651</v>
      </c>
    </row>
    <row r="43" spans="1:30" x14ac:dyDescent="0.25">
      <c r="A43" s="3">
        <v>6</v>
      </c>
      <c r="B43" s="6" t="s">
        <v>17</v>
      </c>
      <c r="C43" s="3">
        <v>6.1</v>
      </c>
      <c r="D43" s="3">
        <v>0.49</v>
      </c>
      <c r="E43" s="3">
        <v>1.1299999999999999</v>
      </c>
      <c r="H43" s="3">
        <v>6</v>
      </c>
      <c r="I43" s="3">
        <v>6.1</v>
      </c>
      <c r="J43" s="7">
        <f t="shared" si="26"/>
        <v>0.79800000000000004</v>
      </c>
      <c r="K43" s="7">
        <f t="shared" si="27"/>
        <v>54.972999999999999</v>
      </c>
      <c r="M43" s="7">
        <f>J43 - 0.581</f>
        <v>0.21700000000000008</v>
      </c>
      <c r="N43" s="7">
        <f t="shared" si="28"/>
        <v>15.030000000000001</v>
      </c>
      <c r="O43" s="7">
        <f t="shared" si="29"/>
        <v>4.7089000000000034E-2</v>
      </c>
      <c r="P43" s="3">
        <f t="shared" si="30"/>
        <v>3.2615100000000017</v>
      </c>
      <c r="Q43" s="19"/>
      <c r="R43" s="19"/>
      <c r="S43" s="3">
        <f t="shared" si="31"/>
        <v>1.5720000000000001</v>
      </c>
      <c r="T43" s="3">
        <f t="shared" si="32"/>
        <v>2.4712000000000001</v>
      </c>
    </row>
    <row r="44" spans="1:30" x14ac:dyDescent="0.25">
      <c r="A44" s="3">
        <v>7</v>
      </c>
      <c r="B44" s="6" t="s">
        <v>18</v>
      </c>
      <c r="C44" s="3">
        <v>6.9</v>
      </c>
      <c r="D44" s="3">
        <v>0.53</v>
      </c>
      <c r="E44" s="3">
        <v>1.23</v>
      </c>
      <c r="H44" s="3">
        <v>7</v>
      </c>
      <c r="I44" s="3">
        <v>6.9</v>
      </c>
      <c r="J44" s="7">
        <f t="shared" si="26"/>
        <v>0.94799999999999995</v>
      </c>
      <c r="K44" s="7">
        <f t="shared" si="27"/>
        <v>61.148000000000003</v>
      </c>
      <c r="M44" s="7">
        <f t="shared" si="33"/>
        <v>0.36699999999999999</v>
      </c>
      <c r="N44" s="7">
        <f t="shared" si="28"/>
        <v>21.205000000000005</v>
      </c>
      <c r="O44" s="7">
        <f t="shared" si="29"/>
        <v>0.134689</v>
      </c>
      <c r="P44" s="3">
        <f t="shared" si="30"/>
        <v>7.7822350000000018</v>
      </c>
      <c r="Q44" s="19"/>
      <c r="R44" s="19"/>
      <c r="S44" s="3">
        <f t="shared" si="31"/>
        <v>-1.5609999999999999</v>
      </c>
      <c r="T44" s="3">
        <f t="shared" si="32"/>
        <v>2.4367000000000001</v>
      </c>
    </row>
    <row r="45" spans="1:30" x14ac:dyDescent="0.25">
      <c r="J45" s="3" t="s">
        <v>41</v>
      </c>
      <c r="K45" s="3" t="s">
        <v>42</v>
      </c>
      <c r="M45" s="3" t="s">
        <v>34</v>
      </c>
      <c r="N45" s="3" t="s">
        <v>35</v>
      </c>
      <c r="O45" s="3" t="s">
        <v>38</v>
      </c>
      <c r="P45" s="3" t="s">
        <v>45</v>
      </c>
      <c r="Q45" s="3" t="s">
        <v>43</v>
      </c>
      <c r="R45" s="3" t="s">
        <v>54</v>
      </c>
    </row>
    <row r="46" spans="1:30" x14ac:dyDescent="0.25">
      <c r="J46" s="7">
        <f>AVERAGE(J38:J44)</f>
        <v>0.58114285714285707</v>
      </c>
      <c r="K46" s="7">
        <f>AVERAGE(K38:K44)</f>
        <v>39.942857142857143</v>
      </c>
      <c r="M46" s="12">
        <f>Q38/R38</f>
        <v>62.058566040836027</v>
      </c>
      <c r="N46" s="10">
        <f>K46-M46*J46</f>
        <v>3.8779647636970083</v>
      </c>
      <c r="O46" s="3">
        <v>6.2229999999999999</v>
      </c>
      <c r="P46" s="3">
        <f>SQRT(1/0.39 * 6.223/5)</f>
        <v>1.7864159793514083</v>
      </c>
      <c r="Q46" s="13">
        <f>2.45*1.786</f>
        <v>4.3757000000000001</v>
      </c>
      <c r="R46" s="14">
        <f>4.376/62.059</f>
        <v>7.0513543563383241E-2</v>
      </c>
    </row>
    <row r="47" spans="1:30" x14ac:dyDescent="0.25">
      <c r="M47" s="3">
        <v>1</v>
      </c>
      <c r="N47" s="3">
        <v>2</v>
      </c>
      <c r="O47" s="3">
        <v>3</v>
      </c>
    </row>
    <row r="48" spans="1:30" x14ac:dyDescent="0.25">
      <c r="A48" s="3" t="s">
        <v>0</v>
      </c>
      <c r="B48" s="3" t="s">
        <v>8</v>
      </c>
      <c r="C48" s="3" t="s">
        <v>9</v>
      </c>
      <c r="D48" s="3" t="s">
        <v>10</v>
      </c>
      <c r="E48" s="3" t="s">
        <v>11</v>
      </c>
      <c r="H48" s="3" t="s">
        <v>0</v>
      </c>
      <c r="I48" s="3" t="s">
        <v>9</v>
      </c>
      <c r="J48" s="3" t="s">
        <v>28</v>
      </c>
      <c r="K48" s="3" t="s">
        <v>29</v>
      </c>
      <c r="M48" s="3" t="s">
        <v>30</v>
      </c>
      <c r="N48" s="3" t="s">
        <v>31</v>
      </c>
      <c r="O48" s="3" t="s">
        <v>32</v>
      </c>
      <c r="P48" s="3" t="s">
        <v>33</v>
      </c>
      <c r="Q48" s="3" t="s">
        <v>39</v>
      </c>
      <c r="R48" s="3" t="s">
        <v>40</v>
      </c>
      <c r="S48" s="3" t="s">
        <v>36</v>
      </c>
      <c r="T48" s="3" t="s">
        <v>37</v>
      </c>
    </row>
    <row r="49" spans="1:20" x14ac:dyDescent="0.25">
      <c r="A49" s="3">
        <v>1</v>
      </c>
      <c r="B49" s="6" t="s">
        <v>12</v>
      </c>
      <c r="C49" s="3">
        <v>1.8</v>
      </c>
      <c r="D49" s="3">
        <v>0.17</v>
      </c>
      <c r="E49" s="3">
        <v>0.41</v>
      </c>
      <c r="H49" s="3">
        <v>1</v>
      </c>
      <c r="I49" s="3">
        <v>1.8</v>
      </c>
      <c r="J49" s="7">
        <f>ROUND((E49^2 - D49^2)/(2 * (0.8 - 0.15)), 3)</f>
        <v>0.107</v>
      </c>
      <c r="K49" s="7">
        <f>ROUND(I49*(9.81 - J49), 3)</f>
        <v>17.465</v>
      </c>
      <c r="M49" s="7">
        <f>J49 - 0.297</f>
        <v>-0.19</v>
      </c>
      <c r="N49" s="7">
        <f>K49 - 41.373</f>
        <v>-23.907999999999998</v>
      </c>
      <c r="O49" s="7">
        <f>M49^2</f>
        <v>3.61E-2</v>
      </c>
      <c r="P49" s="3">
        <f>M49*N49</f>
        <v>4.5425199999999997</v>
      </c>
      <c r="Q49" s="19">
        <f>SUM(P49:P55)</f>
        <v>13.682728999999998</v>
      </c>
      <c r="R49" s="18">
        <f>SUM(O49:O55)</f>
        <v>0.10991099999999999</v>
      </c>
      <c r="S49" s="3">
        <f>ROUND(K49-($N$57+$M$57*J49), 3)</f>
        <v>-0.30499999999999999</v>
      </c>
      <c r="T49" s="3">
        <f>ROUND(S49^2, 4)</f>
        <v>9.2999999999999999E-2</v>
      </c>
    </row>
    <row r="50" spans="1:20" x14ac:dyDescent="0.25">
      <c r="A50" s="3">
        <v>2</v>
      </c>
      <c r="B50" s="6" t="s">
        <v>13</v>
      </c>
      <c r="C50" s="3">
        <v>2.7</v>
      </c>
      <c r="D50" s="3">
        <v>0.23</v>
      </c>
      <c r="E50" s="3">
        <v>0.53</v>
      </c>
      <c r="H50" s="3">
        <v>2</v>
      </c>
      <c r="I50" s="3">
        <v>2.7</v>
      </c>
      <c r="J50" s="7">
        <f t="shared" ref="J50:J55" si="34">ROUND((E50^2 - D50^2)/(2 * (0.8 - 0.15)), 3)</f>
        <v>0.17499999999999999</v>
      </c>
      <c r="K50" s="7">
        <f t="shared" ref="K50:K55" si="35">ROUND(I50*(9.81 - J50), 3)</f>
        <v>26.015000000000001</v>
      </c>
      <c r="M50" s="7">
        <f t="shared" ref="M50:M55" si="36">J50 - 0.297</f>
        <v>-0.122</v>
      </c>
      <c r="N50" s="7">
        <f t="shared" ref="N50:N55" si="37">K50 - 41.373</f>
        <v>-15.357999999999997</v>
      </c>
      <c r="O50" s="7">
        <f t="shared" ref="O50:O55" si="38">M50^2</f>
        <v>1.4884E-2</v>
      </c>
      <c r="P50" s="3">
        <f t="shared" ref="P50:P55" si="39">M50*N50</f>
        <v>1.8736759999999997</v>
      </c>
      <c r="Q50" s="19"/>
      <c r="R50" s="19"/>
      <c r="S50" s="3">
        <f t="shared" ref="S50:S55" si="40">ROUND(K50-($N$57+$M$57*J50), 3)</f>
        <v>-0.221</v>
      </c>
      <c r="T50" s="3">
        <f t="shared" ref="T50:T55" si="41">ROUND(S50^2, 4)</f>
        <v>4.8800000000000003E-2</v>
      </c>
    </row>
    <row r="51" spans="1:20" x14ac:dyDescent="0.25">
      <c r="A51" s="3">
        <v>3</v>
      </c>
      <c r="B51" s="6" t="s">
        <v>14</v>
      </c>
      <c r="C51" s="3">
        <v>3.5</v>
      </c>
      <c r="D51" s="3">
        <v>0.26</v>
      </c>
      <c r="E51" s="3">
        <v>0.61</v>
      </c>
      <c r="H51" s="3">
        <v>3</v>
      </c>
      <c r="I51" s="3">
        <v>3.5</v>
      </c>
      <c r="J51" s="7">
        <f t="shared" si="34"/>
        <v>0.23400000000000001</v>
      </c>
      <c r="K51" s="7">
        <f t="shared" si="35"/>
        <v>33.515999999999998</v>
      </c>
      <c r="M51" s="7">
        <f t="shared" si="36"/>
        <v>-6.2999999999999973E-2</v>
      </c>
      <c r="N51" s="7">
        <f t="shared" si="37"/>
        <v>-7.8569999999999993</v>
      </c>
      <c r="O51" s="7">
        <f t="shared" si="38"/>
        <v>3.9689999999999968E-3</v>
      </c>
      <c r="P51" s="3">
        <f t="shared" si="39"/>
        <v>0.49499099999999974</v>
      </c>
      <c r="Q51" s="19"/>
      <c r="R51" s="19"/>
      <c r="S51" s="3">
        <f t="shared" si="40"/>
        <v>-6.4000000000000001E-2</v>
      </c>
      <c r="T51" s="3">
        <f t="shared" si="41"/>
        <v>4.1000000000000003E-3</v>
      </c>
    </row>
    <row r="52" spans="1:20" x14ac:dyDescent="0.25">
      <c r="A52" s="3">
        <v>4</v>
      </c>
      <c r="B52" s="6" t="s">
        <v>15</v>
      </c>
      <c r="C52" s="3">
        <v>4.4000000000000004</v>
      </c>
      <c r="D52" s="3">
        <v>0.28999999999999998</v>
      </c>
      <c r="E52" s="3">
        <v>0.69</v>
      </c>
      <c r="H52" s="3">
        <v>4</v>
      </c>
      <c r="I52" s="3">
        <v>4.4000000000000004</v>
      </c>
      <c r="J52" s="7">
        <f t="shared" si="34"/>
        <v>0.30199999999999999</v>
      </c>
      <c r="K52" s="7">
        <f t="shared" si="35"/>
        <v>41.835000000000001</v>
      </c>
      <c r="M52" s="7">
        <f t="shared" si="36"/>
        <v>5.0000000000000044E-3</v>
      </c>
      <c r="N52" s="7">
        <f t="shared" si="37"/>
        <v>0.4620000000000033</v>
      </c>
      <c r="O52" s="7">
        <f t="shared" si="38"/>
        <v>2.5000000000000045E-5</v>
      </c>
      <c r="P52" s="3">
        <f t="shared" si="39"/>
        <v>2.3100000000000186E-3</v>
      </c>
      <c r="Q52" s="19"/>
      <c r="R52" s="19"/>
      <c r="S52" s="3">
        <f t="shared" si="40"/>
        <v>-0.21099999999999999</v>
      </c>
      <c r="T52" s="3">
        <f t="shared" si="41"/>
        <v>4.4499999999999998E-2</v>
      </c>
    </row>
    <row r="53" spans="1:20" x14ac:dyDescent="0.25">
      <c r="A53" s="3">
        <v>5</v>
      </c>
      <c r="B53" s="6" t="s">
        <v>16</v>
      </c>
      <c r="C53" s="3">
        <v>5.2</v>
      </c>
      <c r="D53" s="3">
        <v>0.34</v>
      </c>
      <c r="E53" s="3">
        <v>0.75</v>
      </c>
      <c r="H53" s="3">
        <v>5</v>
      </c>
      <c r="I53" s="3">
        <v>5.2</v>
      </c>
      <c r="J53" s="7">
        <f t="shared" si="34"/>
        <v>0.34399999999999997</v>
      </c>
      <c r="K53" s="7">
        <f t="shared" si="35"/>
        <v>49.222999999999999</v>
      </c>
      <c r="M53" s="7">
        <f t="shared" si="36"/>
        <v>4.6999999999999986E-2</v>
      </c>
      <c r="N53" s="7">
        <f t="shared" si="37"/>
        <v>7.8500000000000014</v>
      </c>
      <c r="O53" s="7">
        <f t="shared" si="38"/>
        <v>2.2089999999999987E-3</v>
      </c>
      <c r="P53" s="3">
        <f t="shared" si="39"/>
        <v>0.36894999999999994</v>
      </c>
      <c r="Q53" s="19"/>
      <c r="R53" s="19"/>
      <c r="S53" s="3">
        <f t="shared" si="40"/>
        <v>1.9490000000000001</v>
      </c>
      <c r="T53" s="3">
        <f t="shared" si="41"/>
        <v>3.7986</v>
      </c>
    </row>
    <row r="54" spans="1:20" x14ac:dyDescent="0.25">
      <c r="A54" s="3">
        <v>6</v>
      </c>
      <c r="B54" s="6" t="s">
        <v>17</v>
      </c>
      <c r="C54" s="3">
        <v>6.1</v>
      </c>
      <c r="D54" s="3">
        <v>0.37</v>
      </c>
      <c r="E54" s="3">
        <v>0.84</v>
      </c>
      <c r="H54" s="3">
        <v>6</v>
      </c>
      <c r="I54" s="3">
        <v>6.1</v>
      </c>
      <c r="J54" s="7">
        <f t="shared" si="34"/>
        <v>0.437</v>
      </c>
      <c r="K54" s="7">
        <f t="shared" si="35"/>
        <v>57.174999999999997</v>
      </c>
      <c r="M54" s="7">
        <f t="shared" si="36"/>
        <v>0.14000000000000001</v>
      </c>
      <c r="N54" s="7">
        <f t="shared" si="37"/>
        <v>15.802</v>
      </c>
      <c r="O54" s="7">
        <f t="shared" si="38"/>
        <v>1.9600000000000003E-2</v>
      </c>
      <c r="P54" s="3">
        <f t="shared" si="39"/>
        <v>2.2122800000000002</v>
      </c>
      <c r="Q54" s="19"/>
      <c r="R54" s="19"/>
      <c r="S54" s="3">
        <f t="shared" si="40"/>
        <v>-1.677</v>
      </c>
      <c r="T54" s="3">
        <f t="shared" si="41"/>
        <v>2.8123</v>
      </c>
    </row>
    <row r="55" spans="1:20" x14ac:dyDescent="0.25">
      <c r="A55" s="3">
        <v>7</v>
      </c>
      <c r="B55" s="6" t="s">
        <v>18</v>
      </c>
      <c r="C55" s="3">
        <v>6.9</v>
      </c>
      <c r="D55" s="3">
        <v>0.39</v>
      </c>
      <c r="E55" s="3">
        <v>0.88</v>
      </c>
      <c r="H55" s="3">
        <v>7</v>
      </c>
      <c r="I55" s="3">
        <v>6.9</v>
      </c>
      <c r="J55" s="7">
        <f t="shared" si="34"/>
        <v>0.47899999999999998</v>
      </c>
      <c r="K55" s="7">
        <f t="shared" si="35"/>
        <v>64.384</v>
      </c>
      <c r="M55" s="7">
        <f t="shared" si="36"/>
        <v>0.182</v>
      </c>
      <c r="N55" s="7">
        <f t="shared" si="37"/>
        <v>23.011000000000003</v>
      </c>
      <c r="O55" s="7">
        <f t="shared" si="38"/>
        <v>3.3124000000000001E-2</v>
      </c>
      <c r="P55" s="3">
        <f t="shared" si="39"/>
        <v>4.188002</v>
      </c>
      <c r="Q55" s="19"/>
      <c r="R55" s="19"/>
      <c r="S55" s="3">
        <f t="shared" si="40"/>
        <v>0.30399999999999999</v>
      </c>
      <c r="T55" s="3">
        <f t="shared" si="41"/>
        <v>9.2399999999999996E-2</v>
      </c>
    </row>
    <row r="56" spans="1:20" x14ac:dyDescent="0.25">
      <c r="J56" s="3" t="s">
        <v>41</v>
      </c>
      <c r="K56" s="3" t="s">
        <v>42</v>
      </c>
      <c r="M56" s="3" t="s">
        <v>34</v>
      </c>
      <c r="N56" s="3" t="s">
        <v>35</v>
      </c>
      <c r="O56" s="3" t="s">
        <v>38</v>
      </c>
      <c r="P56" s="3" t="s">
        <v>45</v>
      </c>
      <c r="Q56" s="3" t="s">
        <v>44</v>
      </c>
      <c r="R56" s="3" t="s">
        <v>55</v>
      </c>
    </row>
    <row r="57" spans="1:20" x14ac:dyDescent="0.25">
      <c r="J57" s="7">
        <f>AVERAGE(J49:J55)</f>
        <v>0.29685714285714282</v>
      </c>
      <c r="K57" s="7">
        <f>AVERAGE(K49:K55)</f>
        <v>41.373285714285721</v>
      </c>
      <c r="M57" s="12">
        <v>124.489</v>
      </c>
      <c r="N57" s="10">
        <v>4.45</v>
      </c>
      <c r="O57" s="3">
        <f>SUM(T49:T55)</f>
        <v>6.8936999999999991</v>
      </c>
      <c r="P57" s="3">
        <f>SQRT(1/0.11 * 6.894/5)</f>
        <v>3.5404160002103504</v>
      </c>
      <c r="Q57" s="13">
        <f>2.45*3.54</f>
        <v>8.673</v>
      </c>
      <c r="R57" s="14">
        <f>8.673/124.489</f>
        <v>6.966880607925198E-2</v>
      </c>
    </row>
    <row r="65" spans="10:11" x14ac:dyDescent="0.25">
      <c r="J65">
        <v>0.22</v>
      </c>
      <c r="K65">
        <v>17.262</v>
      </c>
    </row>
    <row r="66" spans="10:11" x14ac:dyDescent="0.25">
      <c r="J66">
        <v>0.34899999999999998</v>
      </c>
      <c r="K66">
        <v>25.545000000000002</v>
      </c>
    </row>
    <row r="67" spans="10:11" x14ac:dyDescent="0.25">
      <c r="J67">
        <v>0.47699999999999998</v>
      </c>
      <c r="K67">
        <v>32.665999999999997</v>
      </c>
    </row>
    <row r="68" spans="10:11" x14ac:dyDescent="0.25">
      <c r="J68">
        <v>0.58199999999999996</v>
      </c>
      <c r="K68">
        <v>40.603000000000002</v>
      </c>
    </row>
    <row r="69" spans="10:11" x14ac:dyDescent="0.25">
      <c r="J69">
        <v>0.69399999999999995</v>
      </c>
      <c r="K69">
        <v>47.402999999999999</v>
      </c>
    </row>
    <row r="70" spans="10:11" x14ac:dyDescent="0.25">
      <c r="J70">
        <v>0.79800000000000004</v>
      </c>
      <c r="K70">
        <v>54.972999999999999</v>
      </c>
    </row>
    <row r="71" spans="10:11" x14ac:dyDescent="0.25">
      <c r="J71">
        <v>0.94799999999999995</v>
      </c>
      <c r="K71">
        <v>61.148000000000003</v>
      </c>
    </row>
    <row r="72" spans="10:11" x14ac:dyDescent="0.25">
      <c r="J72">
        <v>0.107</v>
      </c>
      <c r="K72">
        <v>17.465</v>
      </c>
    </row>
    <row r="73" spans="10:11" x14ac:dyDescent="0.25">
      <c r="J73">
        <v>0.17499999999999999</v>
      </c>
      <c r="K73">
        <v>26.015000000000001</v>
      </c>
    </row>
    <row r="74" spans="10:11" x14ac:dyDescent="0.25">
      <c r="J74">
        <v>0.23400000000000001</v>
      </c>
      <c r="K74">
        <v>33.515999999999998</v>
      </c>
    </row>
    <row r="75" spans="10:11" x14ac:dyDescent="0.25">
      <c r="J75">
        <v>0.30199999999999999</v>
      </c>
      <c r="K75">
        <v>41.835000000000001</v>
      </c>
    </row>
    <row r="76" spans="10:11" x14ac:dyDescent="0.25">
      <c r="J76">
        <v>0.34399999999999997</v>
      </c>
      <c r="K76">
        <v>49.222999999999999</v>
      </c>
    </row>
    <row r="77" spans="10:11" x14ac:dyDescent="0.25">
      <c r="J77">
        <v>0.437</v>
      </c>
      <c r="K77">
        <v>57.174999999999997</v>
      </c>
    </row>
    <row r="78" spans="10:11" x14ac:dyDescent="0.25">
      <c r="J78">
        <v>0.47899999999999998</v>
      </c>
      <c r="K78">
        <v>64.384</v>
      </c>
    </row>
  </sheetData>
  <mergeCells count="6">
    <mergeCell ref="M20:M24"/>
    <mergeCell ref="M29:M33"/>
    <mergeCell ref="R38:R44"/>
    <mergeCell ref="Q38:Q44"/>
    <mergeCell ref="Q49:Q55"/>
    <mergeCell ref="R49:R55"/>
  </mergeCells>
  <pageMargins left="0.7" right="0.7" top="0.75" bottom="0.75" header="0.3" footer="0.3"/>
  <ignoredErrors>
    <ignoredError sqref="T2 T11:T15 T20 T29:T33" formula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52CD5DA0C97454790DC060511AED1FE" ma:contentTypeVersion="5" ma:contentTypeDescription="Создание документа." ma:contentTypeScope="" ma:versionID="97b6f7af5eb7ceafb12b58e97965654f">
  <xsd:schema xmlns:xsd="http://www.w3.org/2001/XMLSchema" xmlns:xs="http://www.w3.org/2001/XMLSchema" xmlns:p="http://schemas.microsoft.com/office/2006/metadata/properties" xmlns:ns3="b5bd2afb-8df3-4b82-a114-8e1b04f3bac8" targetNamespace="http://schemas.microsoft.com/office/2006/metadata/properties" ma:root="true" ma:fieldsID="1929cdba1bf3923c541e5b3294229b6c" ns3:_="">
    <xsd:import namespace="b5bd2afb-8df3-4b82-a114-8e1b04f3bac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d2afb-8df3-4b82-a114-8e1b04f3bac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3CB20A-AC78-4F3F-8797-87D546ADBD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F25C10-5FF4-4FBA-B805-76F72531E8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bd2afb-8df3-4b82-a114-8e1b04f3ba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39202F-1252-42AF-8546-4D19EF5F9990}">
  <ds:schemaRefs>
    <ds:schemaRef ds:uri="http://schemas.microsoft.com/office/2006/documentManagement/types"/>
    <ds:schemaRef ds:uri="http://purl.org/dc/elements/1.1/"/>
    <ds:schemaRef ds:uri="http://purl.org/dc/terms/"/>
    <ds:schemaRef ds:uri="b5bd2afb-8df3-4b82-a114-8e1b04f3bac8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Рахимов Руслан Денисович</dc:creator>
  <cp:lastModifiedBy>Денис Корчилава</cp:lastModifiedBy>
  <dcterms:created xsi:type="dcterms:W3CDTF">2024-10-06T20:53:38Z</dcterms:created>
  <dcterms:modified xsi:type="dcterms:W3CDTF">2024-10-12T17:43:55Z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0x010100052CD5DA0C97454790DC060511AED1FE</vt:lpwstr>
  </property>
</Properties>
</file>